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ackupFile="false" showObjects="all" date1904="false"/>
  <workbookProtection/>
  <bookViews>
    <workbookView xWindow="0" yWindow="0" windowWidth="16384" windowHeight="8192" firstSheet="0" activeTab="2"/>
  </bookViews>
  <sheets>
    <sheet name="roles" sheetId="1" state="visible" r:id="rId1"/>
    <sheet name="skills_stack" sheetId="2" state="visible" r:id="rId2"/>
    <sheet name="academic_articles" sheetId="3" r:id="rId3"/>
    <sheet name="experience_details" sheetId="4" state="visible" r:id="rId4"/>
    <sheet name="achievements" sheetId="5" state="visible" r:id="rId5"/>
    <sheet name="education" sheetId="6" state="visible" r:id="rId6"/>
    <sheet name="metrics" sheetId="7" state="visible" r:id="rId7"/>
  </sheets>
  <calcPr iterateCount="100" refMode="A1" iterate="false" iterateDelta="0.0001"/>
</workbook>
</file>

<file path=xl/sharedStrings.xml><?xml version="1.0" encoding="utf-8"?>
<sst xmlns="http://schemas.openxmlformats.org/spreadsheetml/2006/main" count="220" uniqueCount="220">
  <si>
    <t xml:space="preserve">role_id</t>
  </si>
  <si>
    <t xml:space="preserve">company</t>
  </si>
  <si>
    <t xml:space="preserve">title</t>
  </si>
  <si>
    <t xml:space="preserve">start</t>
  </si>
  <si>
    <t xml:space="preserve">end</t>
  </si>
  <si>
    <t xml:space="preserve">section</t>
  </si>
  <si>
    <t xml:space="preserve">Melhor Envio</t>
  </si>
  <si>
    <t xml:space="preserve">Data Scientist</t>
  </si>
  <si>
    <t xml:space="preserve">recent_professional_experience</t>
  </si>
  <si>
    <t xml:space="preserve">PicPay</t>
  </si>
  <si>
    <t xml:space="preserve">Senior Data Analyst</t>
  </si>
  <si>
    <t xml:space="preserve">Carrefour</t>
  </si>
  <si>
    <t xml:space="preserve">Senior Data Scientist</t>
  </si>
  <si>
    <t xml:space="preserve">Ria Money Transfer</t>
  </si>
  <si>
    <t xml:space="preserve">CNCFlora</t>
  </si>
  <si>
    <t xml:space="preserve">Category</t>
  </si>
  <si>
    <t xml:space="preserve">Description</t>
  </si>
  <si>
    <t xml:space="preserve">Programming Languages</t>
  </si>
  <si>
    <t xml:space="preserve">Python (production ML systems, pipelines, optimization, packaging)</t>
  </si>
  <si>
    <t xml:space="preserve">R (statistical modeling, experimentation frameworks, reporting pipelines)</t>
  </si>
  <si>
    <t xml:space="preserve">SQL (analytical querying, data modeling, warehouse interaction)</t>
  </si>
  <si>
    <t xml:space="preserve">Bash (automation, environment setup, scripting)</t>
  </si>
  <si>
    <t xml:space="preserve">LookML (semantic modeling for BI tools)</t>
  </si>
  <si>
    <t xml:space="preserve">Machine Learning</t>
  </si>
  <si>
    <t xml:space="preserve">Logistic regression, LightGBM, tree-based models</t>
  </si>
  <si>
    <t xml:space="preserve">Time series forecasting with custom feature engineering</t>
  </si>
  <si>
    <t xml:space="preserve">Clustering (k-prototypes for segmentation)</t>
  </si>
  <si>
    <t xml:space="preserve">Model evaluation (MAPE, AUC, Average Precision, lift)</t>
  </si>
  <si>
    <t xml:space="preserve">Temporal validation and backtesting</t>
  </si>
  <si>
    <t xml:space="preserve">Statistics</t>
  </si>
  <si>
    <t xml:space="preserve">Bayesian inference and maximum likelihood</t>
  </si>
  <si>
    <t xml:space="preserve">Bootstrapping and resampling techniques</t>
  </si>
  <si>
    <t xml:space="preserve">Experimental design and hypothesis testing</t>
  </si>
  <si>
    <t xml:space="preserve">Summary and rolling metrics analysis</t>
  </si>
  <si>
    <t xml:space="preserve">Data Processing</t>
  </si>
  <si>
    <t xml:space="preserve">Vectorization and performance optimization</t>
  </si>
  <si>
    <t xml:space="preserve">Parallel processing and memory optimization</t>
  </si>
  <si>
    <t xml:space="preserve">Large-scale data processing (hundreds of millions of rows)</t>
  </si>
  <si>
    <t xml:space="preserve">Python Ecosystem</t>
  </si>
  <si>
    <t xml:space="preserve">pandas, NumPy, polars</t>
  </si>
  <si>
    <t xml:space="preserve">scikit-learn, LightGBM</t>
  </si>
  <si>
    <t xml:space="preserve">PySpark</t>
  </si>
  <si>
    <t xml:space="preserve">matplotlib, seaborn</t>
  </si>
  <si>
    <t xml:space="preserve">awswrangler</t>
  </si>
  <si>
    <t xml:space="preserve">R Ecosystem</t>
  </si>
  <si>
    <t xml:space="preserve">tidyverse, tidymodels</t>
  </si>
  <si>
    <t xml:space="preserve">ggplot2</t>
  </si>
  <si>
    <t xml:space="preserve">kproto clustering</t>
  </si>
  <si>
    <t xml:space="preserve">Quarto, R Markdown, pagedown</t>
  </si>
  <si>
    <t xml:space="preserve">Cloud</t>
  </si>
  <si>
    <t xml:space="preserve">Google Cloud Platform (Vertex AI, BigQuery, GCS)</t>
  </si>
  <si>
    <t xml:space="preserve">AWS (S3, Athena, ECS, ECR, Glue, EventBridge)</t>
  </si>
  <si>
    <t xml:space="preserve">Databricks</t>
  </si>
  <si>
    <t xml:space="preserve">MLOps</t>
  </si>
  <si>
    <t xml:space="preserve">Kubeflow pipelines</t>
  </si>
  <si>
    <t xml:space="preserve">Docker containerization</t>
  </si>
  <si>
    <t xml:space="preserve">CI/CD with GitHub Actions</t>
  </si>
  <si>
    <t xml:space="preserve">Batch ML pipelines</t>
  </si>
  <si>
    <t xml:space="preserve">Model monitoring and tracking</t>
  </si>
  <si>
    <t xml:space="preserve">Software Engineering</t>
  </si>
  <si>
    <t xml:space="preserve">OOP for ML systems</t>
  </si>
  <si>
    <t xml:space="preserve">Modular architecture (src layout)</t>
  </si>
  <si>
    <t xml:space="preserve">Python packaging (uv, pyproject.toml)</t>
  </si>
  <si>
    <t xml:space="preserve">Reproducible environments</t>
  </si>
  <si>
    <t xml:space="preserve">Infrastructure</t>
  </si>
  <si>
    <t xml:space="preserve">Terraform (IaC)</t>
  </si>
  <si>
    <t xml:space="preserve">ECS Fargate</t>
  </si>
  <si>
    <t xml:space="preserve">EventBridge scheduling</t>
  </si>
  <si>
    <t xml:space="preserve">ECR image registry</t>
  </si>
  <si>
    <t xml:space="preserve">LLM Systems</t>
  </si>
  <si>
    <t xml:space="preserve">CV generation pipeline with LLMs</t>
  </si>
  <si>
    <t xml:space="preserve">Prompt engineering (multi-layer prompts)</t>
  </si>
  <si>
    <t xml:space="preserve">Data-driven generation using spreadsheets</t>
  </si>
  <si>
    <t xml:space="preserve">HTML/PDF rendering pipelines</t>
  </si>
  <si>
    <t xml:space="preserve">Data Infrastructure</t>
  </si>
  <si>
    <t xml:space="preserve">Athena + S3 data lake</t>
  </si>
  <si>
    <t xml:space="preserve">UUID-based data tracking</t>
  </si>
  <si>
    <t xml:space="preserve">Prediction + metrics storage systems</t>
  </si>
  <si>
    <t xml:space="preserve">BI &amp; Analytics</t>
  </si>
  <si>
    <t xml:space="preserve">Looker dashboards</t>
  </si>
  <si>
    <t xml:space="preserve">Databricks dashboards</t>
  </si>
  <si>
    <t xml:space="preserve">KPI definition and business analytics</t>
  </si>
  <si>
    <t xml:space="preserve">Operating Systems</t>
  </si>
  <si>
    <t xml:space="preserve">Linux (Ubuntu)</t>
  </si>
  <si>
    <t xml:space="preserve">Bash scripting and automation</t>
  </si>
  <si>
    <t xml:space="preserve">Meta Capabilities</t>
  </si>
  <si>
    <t xml:space="preserve">End-to-end ML system ownership</t>
  </si>
  <si>
    <t xml:space="preserve">Bridging modeling, infra, and business impact</t>
  </si>
  <si>
    <t xml:space="preserve">Production-grade ML mindset</t>
  </si>
  <si>
    <t xml:space="preserve">description_1</t>
  </si>
  <si>
    <t xml:space="preserve">description_2</t>
  </si>
  <si>
    <t xml:space="preserve">description_3</t>
  </si>
  <si>
    <t xml:space="preserve">description_4</t>
  </si>
  <si>
    <t xml:space="preserve">Skills &amp; stack</t>
  </si>
  <si>
    <t xml:space="preserve">My area of expertise is tilted towards using statistics (Machine Learning included) to describe and understand client behavior, development of predictive models (e.g. churn or propension) and client segmentation using unsupervised ML. I have experience developing *ad hoc* analyses and also developing production ready models.</t>
  </si>
  <si>
    <t xml:space="preserve">Statistical modeling, data analysis and hypothesis testing are considered staple knowledge in the area I graduated from. This fact allowed me to transit between different technical areas seamlessly (such as machine learning, A/B testing and data visualization).</t>
  </si>
  <si>
    <t xml:space="preserve">R is my language of choice, but I also have proficiency with Python, SQL and Spark (PySpark/Sparklyr). I work comfortably with git, github and Linux, besides also having experience working with the Data Bricks environment (and with notebooks in general) and AWS (e.g. Redshift and S3).</t>
  </si>
  <si>
    <t xml:space="preserve">I have worked in several research projects with people from a wide array of backgrounds and seniority levels, some of which from end-to-end. I have been well trained since an undergrad to explain technical subjects to non technical audiences.</t>
  </si>
  <si>
    <t xml:space="preserve">raw_text</t>
  </si>
  <si>
    <t xml:space="preserve">Melhor Envio is a company which offers as a service a system that compiles the best prices and freight company options and also takes care of logistics for, generally, small and medium e-commerce enterprises or entrepreneurs, which form the majority of its client base.
My role as a data scientist there was to work with two main areas: client segmentation and client behavior. 
In terms of segmentation I developed a model using the K-prototypes algorithm in order to understand client cluster groups and aid data driven decisions (such as directed marketing campaigns). I acted during all phases of model development, in which used user demographic and behavioral data as features.
In terms of client behavior, I created a proof of concept which consisted in a data pipeline which compiled client behavioral data in a simple to use/understand data frame which indicated in which stage of maturity/engagement clients were. This project was approved and implemented by myself alone. This pipeline was called “activity status” and helped enhance the efficiency in which clients were contacted in order to prevent churn and raise engagement/recovery rates. This project was personally presented to the board of directors by me and widely accepted as a useful tool. It also allowed stakeholders to identify patterns in client behavior according to their lifetimes. All code was produced in an efficient, deployable manner.
I also acted in several side projects and smaller tasks which involved creating reports and data visualizations, dashboards in Looker and supervised models to understand certain phenomena (such as churn) through an analytical perspective. Revisiting company metrics (such as what constitutes churn) in order to reformulate them in a statistically robust manner was also a common task attributed to me. To a minor extent, I aided the conception of OKR’s for the data team.
The main technologies I used during this time were R (tidydverse &amp; tidymodels), python (pandas &amp; scikit-learn), Looker, Git/Github/Bitbucket and PostgreSQL. With data being accessed from an Amazon Redshift data warehouse, through VS Code and RStudio in Ubuntu.</t>
  </si>
  <si>
    <t xml:space="preserve">At PicPay, I was a Senior Data Analyst, whose main role is to aid projects by guaranteeing analytical and statistical robustness. I also help mentoring analysts in earlier stages of their careers.
I worked in the squad responsible for experimentation and understanding client behavior regarding the home page. Previously I worked at a team whose goal was to understand customer behavior transaction wise.
Regarding my specific activities at the former, I analyzed the performance of A/B tests and proposed test designs. I also maintained the performance (KR) dashboard of my team, which contained most of our performance metrics. I also developed an analysis using unsupervised learning to understand customer behavior.
At the latter, I helped redesign an out of date segmentation model that used the Gaussian Mixture Modeling algorithm to cluster clients. In this sense, I used descriptive statistics, hypothesis testing and feature engineering concepts to validate/invalidate previous model assumptions and transformations and propose new variables as features.
I also developed several Ad Hoc analysis for a wide array of purposes. Some of those were related to financial reports from the company to Brazil’s Central Bank, others were related to improving the costs of customer service using clustered client data. Since there was a considerable amount of data that was not fully structured and accessed widely (or in need of), I have acted considerably building pipelines to store data frames in the data lake or with data wrangling in general. I also occasionally build supervised machine learning models to answer specific questions.
At PicPay, I relied a lot on Databricks notebooks coupled with R, Python, SQL and Spark (pyspark,SparkR and Sparlyr).</t>
  </si>
  <si>
    <t xml:space="preserve">Carrefour is the largest retailer in South America. At Carrefour I was responsible for developing an end-to-end modeling project to create a deployed forecasting model to predict sales for promotional events, focused on fast moving consumer goods, 21 days in advance besides aiding its integration with the company’s ERP tool.
In order to achieve that I firstly led the creation of a clean orchestrated ETL pipeline to make all regarding product sales available to the supply team. Once that was done I developed a machine learning model using lgbm and good experiment design practices to generate reliable forecasts. Afterwards, I joined forces with the Machine Learning Operations team to deploy a parallelized pipeline which predicted sales for future events every day using Vertex AI and Kubeflow Pipelines, besides optimizing the code to do so. Code was optimized by translating pandas code to polars and tweaking overall code (using modularization and vectorization for example). Each store had its own sales model which were trained daily in parallel. Code optimization reduced a process that took 6 hours to 40 minutes.
Once that was done I created the experimental design to test the efficiency of our model, by using hypothesis testing and comparing sales and stock numbers to the baselines (e.g. stores not using our model and past stock surplus averages). I also created the performance database of the model which allowed us to track bugs and performance.
At Carrefour I worked closely with stakeholders and upper management (data directory) to ensure transparency, help with data literacy and explain results with statistical robustness. I helped, for example, the stakeholders understand the issues with outliers and mape values, besides exploring which products were having accurate forecasts and which were not. I used mainly MAPE and wMAPE values, with proper statistical adjustments for all these.
I also created product specific models which performed better than using single models per store. Since the project was a success, the company asked for me to conceive a model to predict regular sales as well.</t>
  </si>
  <si>
    <t xml:space="preserve">Ria Money Transfer is a global financial services company specializing in international remittances. At Ria, I was responsible for developing a production-grade forecasting system to support liquidity planning by predicting daily remittance volumes (T+1) at a country level, directly impacting capital allocation decisions across multiple markets.
In order to achieve that, I designed a robust data pipeline integrating data from AWS sources (S3 and Athena), ensuring reliable and consistent datasets for modeling and validation. I then developed machine learning models using tree-based methods (LightGBM and ensemble approaches), combined with strong experiment design practices, to generate realistic and stable forecasts. Particular focus was given to building time-aware validation frameworks that accurately simulated production behavior.
During this process, I identified and documented multiple sources of data leakage in existing modeling approaches, such as improperly constructed rolling features and post-split aggregations. I then restructured feature engineering pipelines to enforce strict temporal consistency between training and inference, improving the reliability and credibility of model performance. Using these approaches, I achieved realistic performance metrics (~10–12% MAPE), contrasting with overly optimistic benchmarks derived from flawed validation setups.
After model development, I contributed to the productionization of the pipeline using AWS infrastructure, including containerized environments (Docker, ECS, ECR). I worked on modularizing and structuring the codebase to ensure scalability, reproducibility, and maintainability, enabling consistent daily predictions and facilitating future extensions of the system.
Feature engineering included the creation of lag-based variables, rolling statistics, calendar effects (seasonality, holidays), and year-over-year comparisons, all designed with proper cutoff logic aligned to the forecasting horizon to prevent information leakage.
Throughout the project, I worked closely with senior stakeholders, including directors and finance leadership, translating business requirements into quantitative solutions and helping guide decision-making around liquidity allocation and operational risk. I also contributed to improving transparency and trust in the modeling process by clearly communicating assumptions, limitations, and evaluation methodologies.
The work required a high degree of ownership in an ambiguous and fast-paced environment, where I was responsible not only for model development but also for defining validation standards, ensuring data quality, and establishing best practices for production-ready machine learning systems.</t>
  </si>
  <si>
    <t xml:space="preserve">CNCFlora is a federal organization tied to the Brazilian Ministry of Environment, through the Botanical Gardens of Rio de Janeiro, which deals with the political/public/scientific interface of Brazilian Threatened Flora. Most of the public policies of the Brazilian Government, regarding the conservation of Brazil’s Flora, is managed by CNCFlora.
There, I worked as a data and environmental analyst for the Red Listing (which relates to categorizing species as threatened) team.
My main role was to integrate, compile and wrangle data from different unrelated biodiversity sources (such as GBIF or Tropicos). In this sense, I had two tasks: delivering this data in a structured and reliable manner so the team could use it for conservation purposes and to help taking data driven decisions regarding which species should be prioritized in different projects, in order to fairly and efficiently sample the right species by trade-off, according to the most recent scientific knowledge regarding plant conservation. I also coordinated small teams to address specific issues or projects, since several projects were conducted in parallel by the institution.
I also had several tasks carried directly for higher management which involved representing the institution in events (nationally and internationally), explaining the technical aspects of the research to partners, stakeholders and members of the Brazilian government and compiling reports regarding the progress of the country towards international biodiversity goals.
Most of the work at CNCFlora was done using advanced R programming (and R markdown) and data cleaning regularly involved text processing, GIS data and a wide array of different data structures specific to scientific research (such as molecular or taxonomic data), which can be quite intricate.
</t>
  </si>
  <si>
    <t xml:space="preserve">achievement_id</t>
  </si>
  <si>
    <t xml:space="preserve">impact_hint</t>
  </si>
  <si>
    <t xml:space="preserve">components</t>
  </si>
  <si>
    <t xml:space="preserve">themes</t>
  </si>
  <si>
    <t xml:space="preserve">forecast_horizon</t>
  </si>
  <si>
    <t xml:space="preserve">stack</t>
  </si>
  <si>
    <t xml:space="preserve">algorithm</t>
  </si>
  <si>
    <t xml:space="preserve">importance_score</t>
  </si>
  <si>
    <t xml:space="preserve">default_include</t>
  </si>
  <si>
    <t xml:space="preserve">Built a forecasting workflow for promotional demand used by supply teams.</t>
  </si>
  <si>
    <t xml:space="preserve">improved planning accuracy</t>
  </si>
  <si>
    <t xml:space="preserve">data cleaning; integratio; production pipeline; orchestration</t>
  </si>
  <si>
    <t xml:space="preserve">forecasting; machine learning; ml engineering</t>
  </si>
  <si>
    <t xml:space="preserve">21 days</t>
  </si>
  <si>
    <t xml:space="preserve">Kubeflow, GCP, SQL, Python, Vertex AI </t>
  </si>
  <si>
    <t xml:space="preserve">lgbm</t>
  </si>
  <si>
    <t xml:space="preserve">Built a performance database to monitor model performance and kpi's</t>
  </si>
  <si>
    <t xml:space="preserve">roi monitoring</t>
  </si>
  <si>
    <t xml:space="preserve">model output analysis; kpi monitoring</t>
  </si>
  <si>
    <t xml:space="preserve">business analysis; machine learning; statistics;</t>
  </si>
  <si>
    <t xml:space="preserve">Python, R, Vertex AI</t>
  </si>
  <si>
    <t xml:space="preserve">Build the causal inference methodology to assess model's impact</t>
  </si>
  <si>
    <t xml:space="preserve">causal inference</t>
  </si>
  <si>
    <t xml:space="preserve">Built a real time client activity monitoring system</t>
  </si>
  <si>
    <t xml:space="preserve">business monitoring</t>
  </si>
  <si>
    <t xml:space="preserve">data cleaning; data integration; data analysis</t>
  </si>
  <si>
    <t xml:space="preserve">business analysis; statistics</t>
  </si>
  <si>
    <t xml:space="preserve">R, SQL</t>
  </si>
  <si>
    <t xml:space="preserve">re-created statistically grounded churn metrics</t>
  </si>
  <si>
    <t xml:space="preserve">business metrics</t>
  </si>
  <si>
    <t xml:space="preserve">data analysis</t>
  </si>
  <si>
    <t xml:space="preserve">developed a unsupervised model to trace client personas</t>
  </si>
  <si>
    <t xml:space="preserve">client knowledge</t>
  </si>
  <si>
    <t xml:space="preserve">business analysis; machine learning; clustering</t>
  </si>
  <si>
    <t xml:space="preserve">K-prototypes</t>
  </si>
  <si>
    <t xml:space="preserve">dashboard design and modeling </t>
  </si>
  <si>
    <t xml:space="preserve">business analysis</t>
  </si>
  <si>
    <t xml:space="preserve">data visualizatio</t>
  </si>
  <si>
    <t xml:space="preserve"> looker, lookml</t>
  </si>
  <si>
    <t xml:space="preserve">re-created the company's client segmentation model</t>
  </si>
  <si>
    <t xml:space="preserve">Python, SQL, Data Bricks</t>
  </si>
  <si>
    <t xml:space="preserve">gaussian mixture model</t>
  </si>
  <si>
    <t xml:space="preserve">home page redesign with a/b testing</t>
  </si>
  <si>
    <t xml:space="preserve">business knowledge</t>
  </si>
  <si>
    <t xml:space="preserve">data cleaning; statistical analysis</t>
  </si>
  <si>
    <t xml:space="preserve">experimentation; ab testing</t>
  </si>
  <si>
    <t xml:space="preserve">Python, PySpark, Data Bricks</t>
  </si>
  <si>
    <t xml:space="preserve">developed a data pipeline using pyspark to scrutinize accountancy data</t>
  </si>
  <si>
    <t xml:space="preserve">business audit</t>
  </si>
  <si>
    <t xml:space="preserve">data cleaning, integration, data restructuring, code optimization</t>
  </si>
  <si>
    <t xml:space="preserve">SQL, PySpark, Data Bricks</t>
  </si>
  <si>
    <t xml:space="preserve">model experimental design and analysis</t>
  </si>
  <si>
    <t xml:space="preserve">model integrity</t>
  </si>
  <si>
    <t xml:space="preserve">statistical analysis</t>
  </si>
  <si>
    <t xml:space="preserve">machine learning; statistics</t>
  </si>
  <si>
    <t xml:space="preserve">Python, R, SQL</t>
  </si>
  <si>
    <t xml:space="preserve">id</t>
  </si>
  <si>
    <t xml:space="preserve">degree</t>
  </si>
  <si>
    <t xml:space="preserve">field</t>
  </si>
  <si>
    <t xml:space="preserve">institution</t>
  </si>
  <si>
    <t xml:space="preserve">area of knowledge</t>
  </si>
  <si>
    <t xml:space="preserve">advisor</t>
  </si>
  <si>
    <t xml:space="preserve">methods</t>
  </si>
  <si>
    <t xml:space="preserve">publication_ids</t>
  </si>
  <si>
    <t xml:space="preserve">E1</t>
  </si>
  <si>
    <t xml:space="preserve">BSc</t>
  </si>
  <si>
    <t xml:space="preserve">genetics</t>
  </si>
  <si>
    <t xml:space="preserve">UFRJ</t>
  </si>
  <si>
    <t xml:space="preserve">Evolutionary Biology</t>
  </si>
  <si>
    <t xml:space="preserve">Carlos Guerra</t>
  </si>
  <si>
    <t xml:space="preserve">Involved from project conception to publication (as second author), in analyzing the phylogenetic relationships of dolphins using bayesian and maximum likelihood phylogenetic inference methods.</t>
  </si>
  <si>
    <t xml:space="preserve">bioinformatics, biostatistics, molecular phylogeny, dolphins</t>
  </si>
  <si>
    <t xml:space="preserve">bayesian, maximum likelihood, bootstrap, phylogenetic inference</t>
  </si>
  <si>
    <t xml:space="preserve">p1</t>
  </si>
  <si>
    <t xml:space="preserve">E2</t>
  </si>
  <si>
    <t xml:space="preserve">MSc</t>
  </si>
  <si>
    <t xml:space="preserve">Interdisciplinary dissertation joining phylogenetic tree data and plant conservation data from CNCFlora to create a methodology to quantify the phylogenetic distinctness of brazilian endangered angiosperms</t>
  </si>
  <si>
    <t xml:space="preserve">plant conservation, evolutionary uniqueness, biostatistics</t>
  </si>
  <si>
    <t xml:space="preserve">dendrogram analysis, phylogenetic analysis, distance methods</t>
  </si>
  <si>
    <t xml:space="preserve">metric_id</t>
  </si>
  <si>
    <t xml:space="preserve">type</t>
  </si>
  <si>
    <t xml:space="preserve">value</t>
  </si>
  <si>
    <t xml:space="preserve">description</t>
  </si>
  <si>
    <t xml:space="preserve">priority</t>
  </si>
  <si>
    <t xml:space="preserve">M1</t>
  </si>
  <si>
    <t xml:space="preserve">savings</t>
  </si>
  <si>
    <t xml:space="preserve">4 million dollars per month</t>
  </si>
  <si>
    <t xml:space="preserve">prevented overstock while keeping sales</t>
  </si>
  <si>
    <t xml:space="preserve">high</t>
  </si>
  <si>
    <t xml:space="preserve">M2</t>
  </si>
  <si>
    <t xml:space="preserve">accuracy</t>
  </si>
  <si>
    <t xml:space="preserve">20% MAPE in Fast Moving Consumer Goods (FMCG)</t>
  </si>
  <si>
    <t xml:space="preserve">better predictability of event sales</t>
  </si>
  <si>
    <t xml:space="preserve">M3</t>
  </si>
  <si>
    <t xml:space="preserve">10% MAPE for different countries</t>
  </si>
  <si>
    <t xml:space="preserve">better predictability than manual process</t>
  </si>
  <si>
    <t xml:space="preserve">M4</t>
  </si>
  <si>
    <t xml:space="preserve">around 500,000 dollars saved per day in underfunding for our poc pilot country</t>
  </si>
  <si>
    <t xml:space="preserve">large potential projected savings for the model</t>
  </si>
  <si>
    <t xml:space="preserve">M5</t>
  </si>
  <si>
    <t xml:space="preserve">Reduction in 25% of lockout rates compared to manual process</t>
  </si>
  <si>
    <t xml:space="preserve">Less people being blocked out of moving money because of correspondend agents underfunding</t>
  </si>
  <si>
    <t xml:space="preserve">M6</t>
  </si>
  <si>
    <t xml:space="preserve">speed</t>
  </si>
  <si>
    <t xml:space="preserve">Reduction in processing time for remittance predictions from 3 hours to 7 minutes</t>
  </si>
  <si>
    <t xml:space="preserve">Great reduction in time and human resources spent with the prediction process, since the manual process took several hours and demanded a headcount of at least 10 people and the pipeline ran autonomously on a schedule and was executed in 7 minutes, on average.</t>
  </si>
  <si>
    <t xml:space="preserve">medium</t>
  </si>
  <si>
    <t xml:space="preserve">M7</t>
  </si>
  <si>
    <t xml:space="preserve">engagement</t>
  </si>
  <si>
    <t xml:space="preserve">Increase in 20% of coupon conversion </t>
  </si>
  <si>
    <t xml:space="preserve">The results of the segmentation model made it easier for the company to direct coupons to clients who would be more propense to using them, make the effort more efficient and increasing the overall client engagment and retention of marketing campaings.</t>
  </si>
  <si>
    <t xml:space="preserve">M8</t>
  </si>
  <si>
    <t xml:space="preserve">overall churn reduction</t>
  </si>
  <si>
    <t xml:space="preserve">Allthough there is no specific number since this resulted from isolated cases, the company was able to successfully detect and revert potential churn in clients which were having theyre activity reduced in the platform. This was done using the activity status framework created.</t>
  </si>
  <si>
    <t xml:space="preserve">M9</t>
  </si>
  <si>
    <t xml:space="preserve">20% reduction in click through rate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</si>
</sst>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General"/>
  </numFmts>
  <fonts count="3">
    <font>
      <sz val="10"/>
      <color rgb="FF000000"/>
      <name val="Arial"/>
      <family val="0"/>
      <charset val="1"/>
    </font>
    <font>
      <sz val="11"/>
      <color theme="1"/>
      <name val="Arial"/>
      <family val="0"/>
    </font>
    <font>
      <sz val="10"/>
      <color rgb="FF000000"/>
      <name val="Arial"/>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1" fillId="0" borderId="0" xfId="0" applyFont="1" applyNumberFormat="1" applyAlignment="1" applyProtection="1">
      <alignment textRotation="0" horizontal="general" vertical="bottom" indent="0"/>
      <protection hidden="0" locked="0"/>
    </xf>
    <xf numFmtId="164" fontId="2" fillId="0" borderId="0" xfId="0" applyFont="1" applyNumberFormat="1" applyAlignment="1" applyProtection="1">
      <alignment textRotation="0" horizontal="general" vertical="bottom" indent="0"/>
      <protection hidden="0" locked="0"/>
    </xf>
    <xf numFmtId="164" fontId="2" fillId="0" borderId="0" xfId="0" applyFont="1" applyNumberFormat="1" applyAlignment="1" applyProtection="1">
      <alignment textRotation="0" horizontal="general" vertical="bottom" indent="0" wrapText="1"/>
      <protection hidden="0" locked="0"/>
    </xf>
    <xf numFmtId="164" fontId="1" fillId="0" borderId="0" xfId="0" applyFont="1" applyNumberFormat="1" applyAlignment="1" applyProtection="1">
      <alignment textRotation="0" horizontal="general" vertical="bottom" indent="0" wrapText="1"/>
      <protection hidden="0" locked="0"/>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false">
    <outlinePr summaryBelow="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E2"/>
    </sheetView>
  </sheetViews>
  <sheetFormatPr defaultRowHeight="15.0" baseColWidth="10" outlineLevelCol="0"/>
  <cols>
    <col min="1" max="1" width="37.13" hidden="false" outlineLevel="0" customWidth="1"/>
    <col min="2" max="2" width="19.75" hidden="false" outlineLevel="0" customWidth="1"/>
    <col min="3" max="3" width="19.88" hidden="false" outlineLevel="0" customWidth="1"/>
    <col min="6" max="6" width="29.63" hidden="false" outlineLevel="0" customWidth="1"/>
  </cols>
  <sheetData>
    <row r="1" ht="15.75" customHeight="1">
      <c r="A1" s="1" t="s">
        <v>0</v>
      </c>
      <c r="B1" s="1" t="s">
        <v>1</v>
      </c>
      <c r="C1" s="1" t="s">
        <v>2</v>
      </c>
      <c r="D1" s="1" t="s">
        <v>3</v>
      </c>
      <c r="E1" s="1" t="s">
        <v>4</v>
      </c>
      <c r="F1" s="1" t="s">
        <v>5</v>
      </c>
    </row>
    <row r="2" ht="15.75" customHeight="1">
      <c r="A2" s="1" t="n">
        <v>1</v>
      </c>
      <c r="B2" s="1" t="s">
        <v>6</v>
      </c>
      <c r="C2" s="1" t="s">
        <v>7</v>
      </c>
      <c r="D2" s="1" t="n">
        <v>2021</v>
      </c>
      <c r="E2" s="1" t="n">
        <v>2022</v>
      </c>
      <c r="F2" s="1" t="s">
        <v>8</v>
      </c>
    </row>
    <row r="3" ht="15.75" customHeight="1">
      <c r="A3" s="1" t="n">
        <v>2</v>
      </c>
      <c r="B3" s="1" t="s">
        <v>9</v>
      </c>
      <c r="C3" s="1" t="s">
        <v>10</v>
      </c>
      <c r="D3" s="1" t="n">
        <v>2022</v>
      </c>
      <c r="E3" s="1" t="n">
        <v>2023</v>
      </c>
      <c r="F3" s="1" t="s">
        <v>8</v>
      </c>
    </row>
    <row r="4" ht="15.75" customHeight="1">
      <c r="A4" s="1" t="n">
        <v>3</v>
      </c>
      <c r="B4" s="1" t="s">
        <v>11</v>
      </c>
      <c r="C4" s="1" t="s">
        <v>12</v>
      </c>
      <c r="D4" s="1" t="n">
        <v>2023</v>
      </c>
      <c r="E4" s="1" t="n">
        <v>2025</v>
      </c>
      <c r="F4" s="1" t="s">
        <v>8</v>
      </c>
    </row>
    <row r="5" ht="15.75" customHeight="1">
      <c r="A5" s="1" t="n">
        <v>4</v>
      </c>
      <c r="B5" s="1" t="s">
        <v>13</v>
      </c>
      <c r="C5" s="1" t="s">
        <v>12</v>
      </c>
      <c r="D5" s="1" t="n">
        <v>2025</v>
      </c>
      <c r="E5" s="1" t="n">
        <v>2026</v>
      </c>
      <c r="F5" s="1" t="s">
        <v>8</v>
      </c>
    </row>
    <row r="6" ht="15.75" customHeight="1">
      <c r="A6" s="1" t="n">
        <v>5</v>
      </c>
      <c r="B6" s="1" t="s">
        <v>7</v>
      </c>
      <c r="C6" s="1" t="s">
        <v>14</v>
      </c>
      <c r="D6" s="1" t="n">
        <v>2016</v>
      </c>
      <c r="E6" s="1" t="n">
        <v>2018</v>
      </c>
      <c r="F6" s="1" t="s">
        <v>8</v>
      </c>
    </row>
  </sheetData>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false">
    <outlinePr summaryBelow="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E2"/>
    </sheetView>
  </sheetViews>
  <sheetFormatPr defaultRowHeight="15.0" baseColWidth="10" outlineLevelCol="0"/>
  <cols>
    <col min="1" max="1" width="28.38" hidden="false" outlineLevel="0" customWidth="1"/>
    <col min="2" max="2" width="83.89" hidden="false" outlineLevel="0" customWidth="1"/>
  </cols>
  <sheetData>
    <row r="1" ht="15.75" customHeight="1">
      <c r="A1" s="1" t="s">
        <v>15</v>
      </c>
      <c r="B1" s="1" t="s">
        <v>16</v>
      </c>
    </row>
    <row r="2" ht="15.75" customHeight="1">
      <c r="A2" s="1" t="s">
        <v>17</v>
      </c>
      <c r="B2" s="1" t="s">
        <v>18</v>
      </c>
    </row>
    <row r="3" ht="15.75" customHeight="1">
      <c r="A3" s="1" t="s">
        <v>17</v>
      </c>
      <c r="B3" s="1" t="s">
        <v>19</v>
      </c>
    </row>
    <row r="4" ht="15.75" customHeight="1">
      <c r="A4" s="1" t="s">
        <v>17</v>
      </c>
      <c r="B4" s="1" t="s">
        <v>20</v>
      </c>
    </row>
    <row r="5" ht="15.75" customHeight="1">
      <c r="A5" s="1" t="s">
        <v>17</v>
      </c>
      <c r="B5" s="1" t="s">
        <v>21</v>
      </c>
    </row>
    <row r="6" ht="15.75" customHeight="1">
      <c r="A6" s="1" t="s">
        <v>17</v>
      </c>
      <c r="B6" s="1" t="s">
        <v>22</v>
      </c>
    </row>
    <row r="7" ht="15.75" customHeight="1">
      <c r="A7" s="1" t="s">
        <v>23</v>
      </c>
      <c r="B7" s="1" t="s">
        <v>24</v>
      </c>
    </row>
    <row r="8" ht="15.75" customHeight="1">
      <c r="A8" s="1" t="s">
        <v>23</v>
      </c>
      <c r="B8" s="1" t="s">
        <v>25</v>
      </c>
    </row>
    <row r="9" ht="15.75" customHeight="1">
      <c r="A9" s="1" t="s">
        <v>23</v>
      </c>
      <c r="B9" s="1" t="s">
        <v>26</v>
      </c>
    </row>
    <row r="10" ht="15.75" customHeight="1">
      <c r="A10" s="1" t="s">
        <v>23</v>
      </c>
      <c r="B10" s="1" t="s">
        <v>27</v>
      </c>
    </row>
    <row r="11" ht="15.75" customHeight="1">
      <c r="A11" s="1" t="s">
        <v>23</v>
      </c>
      <c r="B11" s="1" t="s">
        <v>28</v>
      </c>
    </row>
    <row r="12" ht="15.75" customHeight="1">
      <c r="A12" s="1" t="s">
        <v>29</v>
      </c>
      <c r="B12" s="1" t="s">
        <v>30</v>
      </c>
    </row>
    <row r="13" ht="15.75" customHeight="1">
      <c r="A13" s="1" t="s">
        <v>29</v>
      </c>
      <c r="B13" s="1" t="s">
        <v>31</v>
      </c>
    </row>
    <row r="14" ht="15.75" customHeight="1">
      <c r="A14" s="1" t="s">
        <v>29</v>
      </c>
      <c r="B14" s="1" t="s">
        <v>32</v>
      </c>
    </row>
    <row r="15" ht="15.75" customHeight="1">
      <c r="A15" s="1" t="s">
        <v>29</v>
      </c>
      <c r="B15" s="1" t="s">
        <v>33</v>
      </c>
    </row>
    <row r="16" ht="15.75" customHeight="1">
      <c r="A16" s="1" t="s">
        <v>34</v>
      </c>
      <c r="B16" s="1" t="s">
        <v>35</v>
      </c>
    </row>
    <row r="17" ht="15.75" customHeight="1">
      <c r="A17" s="1" t="s">
        <v>34</v>
      </c>
      <c r="B17" s="1" t="s">
        <v>36</v>
      </c>
    </row>
    <row r="18" ht="15.75" customHeight="1">
      <c r="A18" s="1" t="s">
        <v>34</v>
      </c>
      <c r="B18" s="1" t="s">
        <v>37</v>
      </c>
    </row>
    <row r="19" ht="15.75" customHeight="1">
      <c r="A19" s="1" t="s">
        <v>38</v>
      </c>
      <c r="B19" s="1" t="s">
        <v>39</v>
      </c>
    </row>
    <row r="20" ht="15.75" customHeight="1">
      <c r="A20" s="1" t="s">
        <v>38</v>
      </c>
      <c r="B20" s="1" t="s">
        <v>40</v>
      </c>
    </row>
    <row r="21" ht="15.75" customHeight="1">
      <c r="A21" s="1" t="s">
        <v>38</v>
      </c>
      <c r="B21" s="1" t="s">
        <v>41</v>
      </c>
    </row>
    <row r="22" ht="15.75" customHeight="1">
      <c r="A22" s="1" t="s">
        <v>38</v>
      </c>
      <c r="B22" s="1" t="s">
        <v>42</v>
      </c>
    </row>
    <row r="23" ht="15.75" customHeight="1">
      <c r="A23" s="1" t="s">
        <v>38</v>
      </c>
      <c r="B23" s="1" t="s">
        <v>43</v>
      </c>
    </row>
    <row r="24" ht="15.75" customHeight="1">
      <c r="A24" s="1" t="s">
        <v>44</v>
      </c>
      <c r="B24" s="1" t="s">
        <v>45</v>
      </c>
    </row>
    <row r="25" ht="15.75" customHeight="1">
      <c r="A25" s="1" t="s">
        <v>44</v>
      </c>
      <c r="B25" s="1" t="s">
        <v>46</v>
      </c>
    </row>
    <row r="26" ht="15.75" customHeight="1">
      <c r="A26" s="1" t="s">
        <v>44</v>
      </c>
      <c r="B26" s="1" t="s">
        <v>47</v>
      </c>
    </row>
    <row r="27" ht="15.75" customHeight="1">
      <c r="A27" s="1" t="s">
        <v>44</v>
      </c>
      <c r="B27" s="1" t="s">
        <v>48</v>
      </c>
    </row>
    <row r="28" ht="15.75" customHeight="1">
      <c r="A28" s="1" t="s">
        <v>49</v>
      </c>
      <c r="B28" s="1" t="s">
        <v>50</v>
      </c>
    </row>
    <row r="29" ht="15.75" customHeight="1">
      <c r="A29" s="1" t="s">
        <v>49</v>
      </c>
      <c r="B29" s="1" t="s">
        <v>51</v>
      </c>
    </row>
    <row r="30" ht="15.75" customHeight="1">
      <c r="A30" s="1" t="s">
        <v>49</v>
      </c>
      <c r="B30" s="1" t="s">
        <v>52</v>
      </c>
    </row>
    <row r="31" ht="15.75" customHeight="1">
      <c r="A31" s="1" t="s">
        <v>53</v>
      </c>
      <c r="B31" s="1" t="s">
        <v>54</v>
      </c>
    </row>
    <row r="32" ht="15.75" customHeight="1">
      <c r="A32" s="1" t="s">
        <v>53</v>
      </c>
      <c r="B32" s="1" t="s">
        <v>55</v>
      </c>
    </row>
    <row r="33" ht="15.75" customHeight="1">
      <c r="A33" s="1" t="s">
        <v>53</v>
      </c>
      <c r="B33" s="1" t="s">
        <v>56</v>
      </c>
    </row>
    <row r="34" ht="15.75" customHeight="1">
      <c r="A34" s="1" t="s">
        <v>53</v>
      </c>
      <c r="B34" s="1" t="s">
        <v>57</v>
      </c>
    </row>
    <row r="35" ht="15.75" customHeight="1">
      <c r="A35" s="1" t="s">
        <v>53</v>
      </c>
      <c r="B35" s="1" t="s">
        <v>58</v>
      </c>
    </row>
    <row r="36" ht="15.75" customHeight="1">
      <c r="A36" s="1" t="s">
        <v>59</v>
      </c>
      <c r="B36" s="1" t="s">
        <v>60</v>
      </c>
    </row>
    <row r="37" ht="15.75" customHeight="1">
      <c r="A37" s="1" t="s">
        <v>59</v>
      </c>
      <c r="B37" s="1" t="s">
        <v>61</v>
      </c>
    </row>
    <row r="38" ht="15.75" customHeight="1">
      <c r="A38" s="1" t="s">
        <v>59</v>
      </c>
      <c r="B38" s="1" t="s">
        <v>62</v>
      </c>
    </row>
    <row r="39" ht="15.75" customHeight="1">
      <c r="A39" s="1" t="s">
        <v>59</v>
      </c>
      <c r="B39" s="1" t="s">
        <v>63</v>
      </c>
    </row>
    <row r="40" ht="15.75" customHeight="1">
      <c r="A40" s="1" t="s">
        <v>64</v>
      </c>
      <c r="B40" s="1" t="s">
        <v>65</v>
      </c>
    </row>
    <row r="41" ht="15.75" customHeight="1">
      <c r="A41" s="1" t="s">
        <v>64</v>
      </c>
      <c r="B41" s="1" t="s">
        <v>66</v>
      </c>
    </row>
    <row r="42" ht="15.75" customHeight="1">
      <c r="A42" s="1" t="s">
        <v>64</v>
      </c>
      <c r="B42" s="1" t="s">
        <v>67</v>
      </c>
    </row>
    <row r="43" ht="15.75" customHeight="1">
      <c r="A43" s="1" t="s">
        <v>64</v>
      </c>
      <c r="B43" s="1" t="s">
        <v>68</v>
      </c>
    </row>
    <row r="44" ht="15.75" customHeight="1">
      <c r="A44" s="1" t="s">
        <v>69</v>
      </c>
      <c r="B44" s="1" t="s">
        <v>70</v>
      </c>
    </row>
    <row r="45" ht="15.75" customHeight="1">
      <c r="A45" s="1" t="s">
        <v>69</v>
      </c>
      <c r="B45" s="1" t="s">
        <v>71</v>
      </c>
    </row>
    <row r="46" ht="15.75" customHeight="1">
      <c r="A46" s="1" t="s">
        <v>69</v>
      </c>
      <c r="B46" s="1" t="s">
        <v>72</v>
      </c>
    </row>
    <row r="47" ht="15.75" customHeight="1">
      <c r="A47" s="1" t="s">
        <v>69</v>
      </c>
      <c r="B47" s="1" t="s">
        <v>73</v>
      </c>
    </row>
    <row r="48" ht="15.75" customHeight="1">
      <c r="A48" s="1" t="s">
        <v>74</v>
      </c>
      <c r="B48" s="1" t="s">
        <v>75</v>
      </c>
    </row>
    <row r="49" ht="15.75" customHeight="1">
      <c r="A49" s="1" t="s">
        <v>74</v>
      </c>
      <c r="B49" s="1" t="s">
        <v>76</v>
      </c>
    </row>
    <row r="50" ht="15.75" customHeight="1">
      <c r="A50" s="1" t="s">
        <v>74</v>
      </c>
      <c r="B50" s="1" t="s">
        <v>77</v>
      </c>
    </row>
    <row r="51" ht="15.75" customHeight="1">
      <c r="A51" s="1" t="s">
        <v>78</v>
      </c>
      <c r="B51" s="1" t="s">
        <v>79</v>
      </c>
    </row>
    <row r="52" ht="15.75" customHeight="1">
      <c r="A52" s="1" t="s">
        <v>78</v>
      </c>
      <c r="B52" s="1" t="s">
        <v>80</v>
      </c>
    </row>
    <row r="53" ht="15.75" customHeight="1">
      <c r="A53" s="1" t="s">
        <v>78</v>
      </c>
      <c r="B53" s="1" t="s">
        <v>81</v>
      </c>
    </row>
    <row r="54" ht="15.75" customHeight="1">
      <c r="A54" s="1" t="s">
        <v>82</v>
      </c>
      <c r="B54" s="1" t="s">
        <v>83</v>
      </c>
    </row>
    <row r="55" ht="15.75" customHeight="1">
      <c r="A55" s="1" t="s">
        <v>82</v>
      </c>
      <c r="B55" s="1" t="s">
        <v>84</v>
      </c>
    </row>
    <row r="56" ht="15.75" customHeight="1">
      <c r="A56" s="1" t="s">
        <v>85</v>
      </c>
      <c r="B56" s="1" t="s">
        <v>86</v>
      </c>
    </row>
    <row r="57" ht="15.75" customHeight="1">
      <c r="A57" s="1" t="s">
        <v>85</v>
      </c>
      <c r="B57" s="1" t="s">
        <v>87</v>
      </c>
    </row>
    <row r="58" ht="15.75" customHeight="1">
      <c r="A58" s="1" t="s">
        <v>85</v>
      </c>
      <c r="B58" s="1" t="s">
        <v>88</v>
      </c>
    </row>
  </sheetData>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OddEven="0" differentFirst="0" scaleWithDoc="0" alignWithMargins="0">
    <oddHeader>&amp;L&amp;C&amp;R</oddHeader>
    <oddFooter>&amp;L&amp;C&amp;R</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E2"/>
    </sheetView>
  </sheetViews>
  <sheetFormatPr defaultRowHeight="15.0" baseColWidth="10" outlineLevelCol="0"/>
  <cols>
    <col min="1" max="1" width="28.38" hidden="false" outlineLevel="0" customWidth="1"/>
    <col min="2" max="2" width="83.89" hidden="false" outlineLevel="0" customWidth="1"/>
  </cols>
  <sheetData>
    <row r="1" ht="12.8" customHeight="1">
      <c r="A1" s="2" t="s">
        <v>2</v>
      </c>
      <c r="B1" s="2" t="s">
        <v>89</v>
      </c>
      <c r="C1" s="2" t="s">
        <v>90</v>
      </c>
      <c r="D1" s="2" t="s">
        <v>91</v>
      </c>
      <c r="E1" s="2" t="s">
        <v>92</v>
      </c>
    </row>
    <row r="2" ht="292.5" customHeight="1">
      <c r="A2" s="2" t="s">
        <v>93</v>
      </c>
      <c r="B2" s="2" t="s">
        <v>94</v>
      </c>
      <c r="C2" s="3" t="s">
        <v>95</v>
      </c>
      <c r="D2" s="3" t="s">
        <v>96</v>
      </c>
      <c r="E2" s="3" t="s">
        <v>97</v>
      </c>
    </row>
    <row r="3" ht="13.8" customHeight="1">
      <c r="A3" s="1"/>
      <c r="B3" s="1"/>
    </row>
    <row r="4" ht="13.8" customHeight="1">
      <c r="A4" s="1"/>
      <c r="B4" s="1"/>
    </row>
    <row r="5" ht="13.8" customHeight="1">
      <c r="A5" s="1"/>
      <c r="B5" s="1"/>
    </row>
    <row r="6" ht="13.8" customHeight="1">
      <c r="A6" s="1"/>
      <c r="B6" s="1"/>
    </row>
    <row r="7" ht="13.8" customHeight="1">
      <c r="A7" s="1"/>
      <c r="B7" s="1"/>
    </row>
    <row r="8" ht="13.8" customHeight="1">
      <c r="A8" s="1"/>
      <c r="B8" s="1"/>
    </row>
    <row r="9" ht="13.8" customHeight="1">
      <c r="A9" s="1"/>
      <c r="B9" s="1"/>
    </row>
    <row r="10" ht="13.8" customHeight="1">
      <c r="A10" s="1"/>
      <c r="B10" s="1"/>
    </row>
    <row r="11" ht="13.8" customHeight="1">
      <c r="A11" s="1"/>
      <c r="B11" s="1"/>
    </row>
    <row r="12" ht="13.8" customHeight="1">
      <c r="A12" s="1"/>
      <c r="B12" s="1"/>
    </row>
    <row r="13" ht="13.8" customHeight="1">
      <c r="A13" s="1"/>
      <c r="B13" s="1"/>
    </row>
    <row r="14" ht="13.8" customHeight="1">
      <c r="A14" s="1"/>
      <c r="B14" s="1"/>
    </row>
    <row r="15" ht="13.8" customHeight="1">
      <c r="A15" s="1"/>
      <c r="B15" s="1"/>
    </row>
    <row r="16" ht="13.8" customHeight="1">
      <c r="A16" s="1"/>
      <c r="B16" s="1"/>
    </row>
    <row r="17" ht="13.8" customHeight="1">
      <c r="A17" s="1"/>
      <c r="B17" s="1"/>
    </row>
    <row r="18" ht="13.8" customHeight="1">
      <c r="A18" s="1"/>
      <c r="B18" s="1"/>
    </row>
    <row r="19" ht="13.8" customHeight="1">
      <c r="A19" s="1"/>
      <c r="B19" s="1"/>
    </row>
    <row r="20" ht="13.8" customHeight="1">
      <c r="A20" s="1"/>
      <c r="B20" s="1"/>
    </row>
    <row r="21" ht="13.8" customHeight="1">
      <c r="A21" s="1"/>
      <c r="B21" s="1"/>
    </row>
    <row r="22" ht="13.8" customHeight="1">
      <c r="A22" s="1"/>
      <c r="B22" s="1"/>
    </row>
    <row r="23" ht="13.8" customHeight="1">
      <c r="A23" s="1"/>
      <c r="B23" s="1"/>
    </row>
    <row r="24" ht="13.8" customHeight="1">
      <c r="A24" s="1"/>
      <c r="B24" s="1"/>
    </row>
    <row r="25" ht="13.8" customHeight="1">
      <c r="A25" s="1"/>
      <c r="B25" s="1"/>
    </row>
    <row r="26" ht="13.8" customHeight="1">
      <c r="A26" s="1"/>
      <c r="B26" s="1"/>
    </row>
    <row r="27" ht="13.8" customHeight="1">
      <c r="A27" s="1"/>
      <c r="B27" s="1"/>
    </row>
    <row r="28" ht="13.8" customHeight="1">
      <c r="A28" s="1"/>
      <c r="B28" s="1"/>
    </row>
    <row r="29" ht="13.8" customHeight="1">
      <c r="A29" s="1"/>
      <c r="B29" s="1"/>
    </row>
    <row r="30" ht="13.8" customHeight="1">
      <c r="A30" s="1"/>
      <c r="B30" s="1"/>
    </row>
    <row r="31" ht="13.8" customHeight="1">
      <c r="A31" s="1"/>
      <c r="B31" s="1"/>
    </row>
    <row r="32" ht="13.8" customHeight="1">
      <c r="A32" s="1"/>
      <c r="B32" s="1"/>
    </row>
    <row r="33" ht="13.8" customHeight="1">
      <c r="A33" s="1"/>
      <c r="B33" s="1"/>
    </row>
    <row r="34" ht="13.8" customHeight="1">
      <c r="A34" s="1"/>
      <c r="B34" s="1"/>
    </row>
    <row r="35" ht="13.8" customHeight="1">
      <c r="A35" s="1"/>
      <c r="B35" s="1"/>
    </row>
    <row r="36" ht="13.8" customHeight="1">
      <c r="A36" s="1"/>
      <c r="B36" s="1"/>
    </row>
    <row r="37" ht="13.8" customHeight="1">
      <c r="A37" s="1"/>
      <c r="B37" s="1"/>
    </row>
    <row r="38" ht="13.8" customHeight="1">
      <c r="A38" s="1"/>
      <c r="B38" s="1"/>
    </row>
    <row r="39" ht="13.8" customHeight="1">
      <c r="A39" s="1"/>
      <c r="B39" s="1"/>
    </row>
    <row r="40" ht="13.8" customHeight="1">
      <c r="A40" s="1"/>
      <c r="B40" s="1"/>
    </row>
    <row r="41" ht="13.8" customHeight="1">
      <c r="A41" s="1"/>
      <c r="B41" s="1"/>
    </row>
    <row r="42" ht="13.8" customHeight="1">
      <c r="A42" s="1"/>
      <c r="B42" s="1"/>
    </row>
    <row r="43" ht="13.8" customHeight="1">
      <c r="A43" s="1"/>
      <c r="B43" s="1"/>
    </row>
    <row r="44" ht="13.8" customHeight="1">
      <c r="A44" s="1"/>
      <c r="B44" s="1"/>
    </row>
    <row r="45" ht="13.8" customHeight="1">
      <c r="A45" s="1"/>
      <c r="B45" s="1"/>
    </row>
    <row r="46" ht="13.8" customHeight="1">
      <c r="A46" s="1"/>
      <c r="B46" s="1"/>
    </row>
    <row r="47" ht="13.8" customHeight="1">
      <c r="A47" s="1"/>
      <c r="B47" s="1"/>
    </row>
    <row r="48" ht="13.8" customHeight="1">
      <c r="A48" s="1"/>
      <c r="B48" s="1"/>
    </row>
    <row r="49" ht="13.8" customHeight="1">
      <c r="A49" s="1"/>
      <c r="B49" s="1"/>
    </row>
    <row r="50" ht="13.8" customHeight="1">
      <c r="A50" s="1"/>
      <c r="B50" s="1"/>
    </row>
    <row r="51" ht="13.8" customHeight="1">
      <c r="A51" s="1"/>
      <c r="B51" s="1"/>
    </row>
    <row r="52" ht="13.8" customHeight="1">
      <c r="A52" s="1"/>
      <c r="B52" s="1"/>
    </row>
    <row r="53" ht="13.8" customHeight="1">
      <c r="A53" s="1"/>
      <c r="B53" s="1"/>
    </row>
    <row r="54" ht="13.8" customHeight="1">
      <c r="A54" s="1"/>
      <c r="B54" s="1"/>
    </row>
    <row r="55" ht="13.8" customHeight="1">
      <c r="A55" s="1"/>
      <c r="B55" s="1"/>
    </row>
    <row r="56" ht="13.8" customHeight="1">
      <c r="A56" s="1"/>
      <c r="B56" s="1"/>
    </row>
    <row r="57" ht="13.8" customHeight="1">
      <c r="A57" s="1"/>
      <c r="B57" s="1"/>
    </row>
    <row r="58" ht="13.8" customHeight="1">
      <c r="A58" s="1"/>
      <c r="B58" s="1"/>
    </row>
  </sheetData>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OddEven="0" differentFirst="0" scaleWithDoc="0" alignWithMargins="0">
    <oddHeader>&amp;L&amp;C&amp;R</oddHeader>
    <oddFooter>&amp;L&amp;C&amp;R</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false">
    <outlinePr summaryBelow="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E2"/>
    </sheetView>
  </sheetViews>
  <sheetFormatPr defaultRowHeight="15.0" baseColWidth="10" outlineLevelCol="0"/>
  <cols>
    <col min="2" max="2" width="56.63" hidden="false" outlineLevel="0" customWidth="1"/>
  </cols>
  <sheetData>
    <row r="1" ht="15.75" customHeight="1">
      <c r="A1" s="1" t="s">
        <v>0</v>
      </c>
      <c r="B1" s="1" t="s">
        <v>98</v>
      </c>
    </row>
    <row r="2" ht="15.75" customHeight="1">
      <c r="A2" s="1" t="n">
        <v>1</v>
      </c>
      <c r="B2" s="1" t="s">
        <v>99</v>
      </c>
    </row>
    <row r="3" ht="15.75" customHeight="1">
      <c r="A3" s="1" t="n">
        <v>2</v>
      </c>
      <c r="B3" s="1" t="s">
        <v>100</v>
      </c>
    </row>
    <row r="4" ht="15.75" customHeight="1">
      <c r="A4" s="1" t="n">
        <v>3</v>
      </c>
      <c r="B4" s="1" t="s">
        <v>101</v>
      </c>
    </row>
    <row r="5" ht="15.75" customHeight="1">
      <c r="A5" s="1" t="n">
        <v>4</v>
      </c>
      <c r="B5" s="1" t="s">
        <v>102</v>
      </c>
    </row>
    <row r="6" ht="15.75" customHeight="1">
      <c r="A6" s="1" t="n">
        <v>5</v>
      </c>
      <c r="B6" s="1" t="s">
        <v>103</v>
      </c>
    </row>
  </sheetData>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OddEven="0" differentFirst="0" scaleWithDoc="0" alignWithMargins="0">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false">
    <outlinePr summaryBelow="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E2"/>
    </sheetView>
  </sheetViews>
  <sheetFormatPr defaultRowHeight="15.0" baseColWidth="10" outlineLevelCol="0"/>
  <cols>
    <col min="3" max="3" width="59.12" hidden="false" outlineLevel="0" customWidth="1"/>
    <col min="4" max="4" width="24.25" hidden="false" outlineLevel="0" customWidth="1"/>
  </cols>
  <sheetData>
    <row r="1" ht="26.85" customHeight="1">
      <c r="A1" s="4" t="s">
        <v>104</v>
      </c>
      <c r="B1" s="4" t="s">
        <v>0</v>
      </c>
      <c r="C1" s="4" t="s">
        <v>98</v>
      </c>
      <c r="D1" s="4" t="s">
        <v>105</v>
      </c>
      <c r="E1" s="4" t="s">
        <v>106</v>
      </c>
      <c r="F1" s="4" t="s">
        <v>107</v>
      </c>
      <c r="G1" s="4" t="s">
        <v>108</v>
      </c>
      <c r="H1" s="4" t="s">
        <v>109</v>
      </c>
      <c r="I1" s="4" t="s">
        <v>110</v>
      </c>
      <c r="J1" s="4" t="s">
        <v>111</v>
      </c>
      <c r="K1" s="4" t="s">
        <v>112</v>
      </c>
      <c r="L1" s="4"/>
      <c r="M1" s="4"/>
      <c r="N1" s="4"/>
      <c r="O1" s="4"/>
      <c r="P1" s="4"/>
      <c r="Q1" s="4"/>
      <c r="R1" s="4"/>
      <c r="S1" s="4"/>
      <c r="T1" s="4"/>
      <c r="U1" s="4"/>
      <c r="V1" s="4"/>
      <c r="W1" s="4"/>
      <c r="X1" s="4"/>
      <c r="Y1" s="4"/>
      <c r="Z1" s="4"/>
      <c r="AA1" s="4"/>
      <c r="AB1" s="4"/>
      <c r="AC1" s="4"/>
      <c r="AD1" s="4"/>
      <c r="AE1" s="4"/>
    </row>
    <row r="2" ht="77.6" customHeight="1">
      <c r="A2" s="4" t="n">
        <v>100</v>
      </c>
      <c r="B2" s="4" t="n">
        <v>3</v>
      </c>
      <c r="C2" s="4" t="s">
        <v>113</v>
      </c>
      <c r="D2" s="4" t="s">
        <v>114</v>
      </c>
      <c r="E2" s="4" t="s">
        <v>115</v>
      </c>
      <c r="F2" s="4" t="s">
        <v>116</v>
      </c>
      <c r="G2" s="4" t="s">
        <v>117</v>
      </c>
      <c r="H2" s="4" t="s">
        <v>118</v>
      </c>
      <c r="I2" s="4" t="s">
        <v>119</v>
      </c>
      <c r="J2" s="4" t="n">
        <v>10</v>
      </c>
      <c r="K2" s="4" t="b">
        <f aca="false">TRUE()</f>
        <v>1</v>
      </c>
      <c r="L2" s="4"/>
      <c r="M2" s="4"/>
      <c r="N2" s="4"/>
      <c r="O2" s="4"/>
      <c r="P2" s="4"/>
      <c r="Q2" s="4"/>
      <c r="R2" s="4"/>
      <c r="S2" s="4"/>
      <c r="T2" s="4"/>
      <c r="U2" s="4"/>
      <c r="V2" s="4"/>
      <c r="W2" s="4"/>
      <c r="X2" s="4"/>
      <c r="Y2" s="4"/>
      <c r="Z2" s="4"/>
      <c r="AA2" s="4"/>
      <c r="AB2" s="4"/>
      <c r="AC2" s="4"/>
      <c r="AD2" s="4"/>
      <c r="AE2" s="4"/>
    </row>
    <row r="3" ht="64.9" customHeight="1">
      <c r="A3" s="4" t="n">
        <v>101</v>
      </c>
      <c r="B3" s="4" t="n">
        <v>3</v>
      </c>
      <c r="C3" s="4" t="s">
        <v>120</v>
      </c>
      <c r="D3" s="4" t="s">
        <v>121</v>
      </c>
      <c r="E3" s="4" t="s">
        <v>122</v>
      </c>
      <c r="F3" s="4" t="s">
        <v>123</v>
      </c>
      <c r="G3" s="4"/>
      <c r="H3" s="4" t="s">
        <v>124</v>
      </c>
      <c r="I3" s="4"/>
      <c r="J3" s="4" t="n">
        <v>10</v>
      </c>
      <c r="K3" s="4" t="b">
        <f aca="false">TRUE()</f>
        <v>1</v>
      </c>
      <c r="L3" s="4"/>
      <c r="M3" s="4"/>
      <c r="N3" s="4"/>
      <c r="O3" s="4"/>
      <c r="P3" s="4"/>
      <c r="Q3" s="4"/>
      <c r="R3" s="4"/>
      <c r="S3" s="4"/>
      <c r="T3" s="4"/>
      <c r="U3" s="4"/>
      <c r="V3" s="4"/>
      <c r="W3" s="4"/>
      <c r="X3" s="4"/>
      <c r="Y3" s="4"/>
      <c r="Z3" s="4"/>
      <c r="AA3" s="4"/>
      <c r="AB3" s="4"/>
      <c r="AC3" s="4"/>
      <c r="AD3" s="4"/>
      <c r="AE3" s="4"/>
    </row>
    <row r="4" ht="26.85" customHeight="1">
      <c r="A4" s="4" t="n">
        <v>102</v>
      </c>
      <c r="B4" s="4" t="n">
        <v>3</v>
      </c>
      <c r="C4" s="4" t="s">
        <v>125</v>
      </c>
      <c r="D4" s="4" t="s">
        <v>121</v>
      </c>
      <c r="E4" s="4"/>
      <c r="F4" s="4" t="s">
        <v>126</v>
      </c>
      <c r="G4" s="4"/>
      <c r="H4" s="4" t="s">
        <v>124</v>
      </c>
      <c r="I4" s="4"/>
      <c r="J4" s="4" t="n">
        <v>8</v>
      </c>
      <c r="K4" s="4" t="b">
        <f aca="false">FALSE()</f>
        <v>0</v>
      </c>
      <c r="L4" s="4"/>
      <c r="M4" s="4"/>
      <c r="N4" s="4"/>
      <c r="O4" s="4"/>
      <c r="P4" s="4"/>
      <c r="Q4" s="4"/>
      <c r="R4" s="4"/>
      <c r="S4" s="4"/>
      <c r="T4" s="4"/>
      <c r="U4" s="4"/>
      <c r="V4" s="4"/>
      <c r="W4" s="4"/>
      <c r="X4" s="4"/>
      <c r="Y4" s="4"/>
      <c r="Z4" s="4"/>
      <c r="AA4" s="4"/>
      <c r="AB4" s="4"/>
      <c r="AC4" s="4"/>
      <c r="AD4" s="4"/>
      <c r="AE4" s="4"/>
    </row>
    <row r="5" ht="77.6" customHeight="1">
      <c r="A5" s="4" t="n">
        <v>103</v>
      </c>
      <c r="B5" s="4" t="n">
        <v>1</v>
      </c>
      <c r="C5" s="4" t="s">
        <v>127</v>
      </c>
      <c r="D5" s="4" t="s">
        <v>128</v>
      </c>
      <c r="E5" s="4" t="s">
        <v>129</v>
      </c>
      <c r="F5" s="4" t="s">
        <v>130</v>
      </c>
      <c r="G5" s="4"/>
      <c r="H5" s="4" t="s">
        <v>131</v>
      </c>
      <c r="I5" s="4"/>
      <c r="J5" s="4" t="n">
        <v>10</v>
      </c>
      <c r="K5" s="4" t="b">
        <f aca="false">TRUE()</f>
        <v>1</v>
      </c>
      <c r="L5" s="4"/>
      <c r="M5" s="4"/>
      <c r="N5" s="4"/>
      <c r="O5" s="4"/>
      <c r="P5" s="4"/>
      <c r="Q5" s="4"/>
      <c r="R5" s="4"/>
      <c r="S5" s="4"/>
      <c r="T5" s="4"/>
      <c r="U5" s="4"/>
      <c r="V5" s="4"/>
      <c r="W5" s="4"/>
      <c r="X5" s="4"/>
      <c r="Y5" s="4"/>
      <c r="Z5" s="4"/>
      <c r="AA5" s="4"/>
      <c r="AB5" s="4"/>
      <c r="AC5" s="4"/>
      <c r="AD5" s="4"/>
      <c r="AE5" s="4"/>
    </row>
    <row r="6" ht="39.55" customHeight="1">
      <c r="A6" s="4" t="n">
        <v>104</v>
      </c>
      <c r="B6" s="4" t="n">
        <v>1</v>
      </c>
      <c r="C6" s="4" t="s">
        <v>132</v>
      </c>
      <c r="D6" s="4" t="s">
        <v>133</v>
      </c>
      <c r="E6" s="4" t="s">
        <v>134</v>
      </c>
      <c r="F6" s="4" t="s">
        <v>130</v>
      </c>
      <c r="G6" s="4"/>
      <c r="H6" s="4" t="s">
        <v>131</v>
      </c>
      <c r="I6" s="4"/>
      <c r="J6" s="4" t="n">
        <v>7</v>
      </c>
      <c r="K6" s="4" t="b">
        <f aca="false">TRUE()</f>
        <v>1</v>
      </c>
      <c r="L6" s="4"/>
      <c r="M6" s="4"/>
      <c r="N6" s="4"/>
      <c r="O6" s="4"/>
      <c r="P6" s="4"/>
      <c r="Q6" s="4"/>
      <c r="R6" s="4"/>
      <c r="S6" s="4"/>
      <c r="T6" s="4"/>
      <c r="U6" s="4"/>
      <c r="V6" s="4"/>
      <c r="W6" s="4"/>
      <c r="X6" s="4"/>
      <c r="Y6" s="4"/>
      <c r="Z6" s="4"/>
      <c r="AA6" s="4"/>
      <c r="AB6" s="4"/>
      <c r="AC6" s="4"/>
      <c r="AD6" s="4"/>
      <c r="AE6" s="4"/>
    </row>
    <row r="7" ht="64.9" customHeight="1">
      <c r="A7" s="4" t="n">
        <v>105</v>
      </c>
      <c r="B7" s="4" t="n">
        <v>1</v>
      </c>
      <c r="C7" s="4" t="s">
        <v>135</v>
      </c>
      <c r="D7" s="4" t="s">
        <v>136</v>
      </c>
      <c r="E7" s="4"/>
      <c r="F7" s="4" t="s">
        <v>137</v>
      </c>
      <c r="G7" s="4"/>
      <c r="H7" s="4" t="s">
        <v>131</v>
      </c>
      <c r="I7" s="4" t="s">
        <v>138</v>
      </c>
      <c r="J7" s="4" t="n">
        <v>9</v>
      </c>
      <c r="K7" s="4" t="b">
        <f aca="false">TRUE()</f>
        <v>1</v>
      </c>
      <c r="L7" s="4"/>
      <c r="M7" s="4"/>
      <c r="N7" s="4"/>
      <c r="O7" s="4"/>
      <c r="P7" s="4"/>
      <c r="Q7" s="4"/>
      <c r="R7" s="4"/>
      <c r="S7" s="4"/>
      <c r="T7" s="4"/>
      <c r="U7" s="4"/>
      <c r="V7" s="4"/>
      <c r="W7" s="4"/>
      <c r="X7" s="4"/>
      <c r="Y7" s="4"/>
      <c r="Z7" s="4"/>
      <c r="AA7" s="4"/>
      <c r="AB7" s="4"/>
      <c r="AC7" s="4"/>
      <c r="AD7" s="4"/>
      <c r="AE7" s="4"/>
    </row>
    <row r="8" ht="26.85" customHeight="1">
      <c r="A8" s="4" t="n">
        <v>105</v>
      </c>
      <c r="B8" s="4" t="n">
        <v>1</v>
      </c>
      <c r="C8" s="4" t="s">
        <v>139</v>
      </c>
      <c r="D8" s="4" t="s">
        <v>140</v>
      </c>
      <c r="E8" s="4" t="s">
        <v>134</v>
      </c>
      <c r="F8" s="4" t="s">
        <v>141</v>
      </c>
      <c r="G8" s="4"/>
      <c r="H8" s="4" t="s">
        <v>142</v>
      </c>
      <c r="I8" s="4"/>
      <c r="J8" s="4" t="n">
        <v>7</v>
      </c>
      <c r="K8" s="4" t="b">
        <f aca="false">TRUE()</f>
        <v>1</v>
      </c>
      <c r="L8" s="4"/>
      <c r="M8" s="4"/>
      <c r="N8" s="4"/>
      <c r="O8" s="4"/>
      <c r="P8" s="4"/>
      <c r="Q8" s="4"/>
      <c r="R8" s="4"/>
      <c r="S8" s="4"/>
      <c r="T8" s="4"/>
      <c r="U8" s="4"/>
      <c r="V8" s="4"/>
      <c r="W8" s="4"/>
      <c r="X8" s="4"/>
      <c r="Y8" s="4"/>
      <c r="Z8" s="4"/>
      <c r="AA8" s="4"/>
      <c r="AB8" s="4"/>
      <c r="AC8" s="4"/>
      <c r="AD8" s="4"/>
      <c r="AE8" s="4"/>
    </row>
    <row r="9" ht="64.9" customHeight="1">
      <c r="A9" s="4" t="n">
        <v>106</v>
      </c>
      <c r="B9" s="4" t="n">
        <v>2</v>
      </c>
      <c r="C9" s="4" t="s">
        <v>143</v>
      </c>
      <c r="D9" s="4" t="s">
        <v>136</v>
      </c>
      <c r="E9" s="4"/>
      <c r="F9" s="4" t="s">
        <v>137</v>
      </c>
      <c r="G9" s="4"/>
      <c r="H9" s="4" t="s">
        <v>144</v>
      </c>
      <c r="I9" s="4" t="s">
        <v>145</v>
      </c>
      <c r="J9" s="4" t="n">
        <v>7</v>
      </c>
      <c r="K9" s="4" t="b">
        <f aca="false">TRUE()</f>
        <v>1</v>
      </c>
      <c r="L9" s="4"/>
      <c r="M9" s="4"/>
      <c r="N9" s="4"/>
      <c r="O9" s="4"/>
      <c r="P9" s="4"/>
      <c r="Q9" s="4"/>
      <c r="R9" s="4"/>
      <c r="S9" s="4"/>
      <c r="T9" s="4"/>
      <c r="U9" s="4"/>
      <c r="V9" s="4"/>
      <c r="W9" s="4"/>
      <c r="X9" s="4"/>
      <c r="Y9" s="4"/>
      <c r="Z9" s="4"/>
      <c r="AA9" s="4"/>
      <c r="AB9" s="4"/>
      <c r="AC9" s="4"/>
      <c r="AD9" s="4"/>
      <c r="AE9" s="4"/>
    </row>
    <row r="10" ht="52.2" customHeight="1">
      <c r="A10" s="4" t="n">
        <v>107</v>
      </c>
      <c r="B10" s="4" t="n">
        <v>2</v>
      </c>
      <c r="C10" s="4" t="s">
        <v>146</v>
      </c>
      <c r="D10" s="4" t="s">
        <v>147</v>
      </c>
      <c r="E10" s="4" t="s">
        <v>148</v>
      </c>
      <c r="F10" s="4" t="s">
        <v>149</v>
      </c>
      <c r="G10" s="4"/>
      <c r="H10" s="4" t="s">
        <v>150</v>
      </c>
      <c r="I10" s="4"/>
      <c r="J10" s="4"/>
      <c r="K10" s="4"/>
      <c r="L10" s="4"/>
      <c r="M10" s="4"/>
      <c r="N10" s="4"/>
      <c r="O10" s="4"/>
      <c r="P10" s="4"/>
      <c r="Q10" s="4"/>
      <c r="R10" s="4"/>
      <c r="S10" s="4"/>
      <c r="T10" s="4"/>
      <c r="U10" s="4"/>
      <c r="V10" s="4"/>
      <c r="W10" s="4"/>
      <c r="X10" s="4"/>
      <c r="Y10" s="4"/>
      <c r="Z10" s="4"/>
      <c r="AA10" s="4"/>
      <c r="AB10" s="4"/>
      <c r="AC10" s="4"/>
      <c r="AD10" s="4"/>
      <c r="AE10" s="4"/>
    </row>
    <row r="11" ht="90.25" customHeight="1">
      <c r="A11" s="4" t="n">
        <v>108</v>
      </c>
      <c r="B11" s="4" t="n">
        <v>2</v>
      </c>
      <c r="C11" s="4" t="s">
        <v>151</v>
      </c>
      <c r="D11" s="4" t="s">
        <v>152</v>
      </c>
      <c r="E11" s="4" t="s">
        <v>153</v>
      </c>
      <c r="F11" s="4"/>
      <c r="G11" s="4"/>
      <c r="H11" s="4" t="s">
        <v>154</v>
      </c>
      <c r="I11" s="4"/>
      <c r="J11" s="4" t="n">
        <v>8</v>
      </c>
      <c r="K11" s="4" t="b">
        <f aca="false">TRUE()</f>
        <v>1</v>
      </c>
      <c r="L11" s="4"/>
      <c r="M11" s="4"/>
      <c r="N11" s="4"/>
      <c r="O11" s="4"/>
      <c r="P11" s="4"/>
      <c r="Q11" s="4"/>
      <c r="R11" s="4"/>
      <c r="S11" s="4"/>
      <c r="T11" s="4"/>
      <c r="U11" s="4"/>
      <c r="V11" s="4"/>
      <c r="W11" s="4"/>
      <c r="X11" s="4"/>
      <c r="Y11" s="4"/>
      <c r="Z11" s="4"/>
      <c r="AA11" s="4"/>
      <c r="AB11" s="4"/>
      <c r="AC11" s="4"/>
      <c r="AD11" s="4"/>
      <c r="AE11" s="4"/>
    </row>
    <row r="12" ht="39.55" customHeight="1">
      <c r="A12" s="4" t="n">
        <v>109</v>
      </c>
      <c r="B12" s="4" t="n">
        <v>2</v>
      </c>
      <c r="C12" s="4" t="s">
        <v>155</v>
      </c>
      <c r="D12" s="4" t="s">
        <v>156</v>
      </c>
      <c r="E12" s="4" t="s">
        <v>157</v>
      </c>
      <c r="F12" s="4" t="s">
        <v>158</v>
      </c>
      <c r="G12" s="4"/>
      <c r="H12" s="4" t="s">
        <v>159</v>
      </c>
      <c r="I12" s="4"/>
      <c r="J12" s="4" t="n">
        <v>8</v>
      </c>
      <c r="K12" s="4" t="b">
        <f aca="false">TRUE()</f>
        <v>1</v>
      </c>
      <c r="L12" s="4"/>
      <c r="M12" s="4"/>
      <c r="N12" s="4"/>
      <c r="O12" s="4"/>
      <c r="P12" s="4"/>
      <c r="Q12" s="4"/>
      <c r="R12" s="4"/>
      <c r="S12" s="4"/>
      <c r="T12" s="4"/>
      <c r="U12" s="4"/>
      <c r="V12" s="4"/>
      <c r="W12" s="4"/>
      <c r="X12" s="4"/>
      <c r="Y12" s="4"/>
      <c r="Z12" s="4"/>
      <c r="AA12" s="4"/>
      <c r="AB12" s="4"/>
      <c r="AC12" s="4"/>
      <c r="AD12" s="4"/>
      <c r="AE12" s="4"/>
    </row>
    <row r="13" ht="15.75" customHeight="1">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row>
    <row r="14" ht="15.75" customHeight="1">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row>
    <row r="15" ht="15.75" customHeight="1">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row>
    <row r="16" ht="15.75" customHeight="1">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row>
    <row r="17" ht="15.75" customHeight="1">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row>
    <row r="18" ht="15.75" customHeight="1">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row>
    <row r="19" ht="15.75" customHeight="1">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row>
    <row r="20" ht="15.75" customHeight="1">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row>
    <row r="1001" ht="15.75" customHeight="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c r="AC1001" s="4"/>
      <c r="AD1001" s="4"/>
      <c r="AE1001" s="4"/>
    </row>
  </sheetData>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OddEven="0" differentFirst="0" scaleWithDoc="0" alignWithMargins="0">
    <oddHeader>&amp;L&amp;C&amp;R</oddHeader>
    <oddFooter>&amp;L&amp;C&amp;R</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false">
    <outlinePr summaryBelow="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E2"/>
    </sheetView>
  </sheetViews>
  <sheetFormatPr defaultRowHeight="15.0" baseColWidth="10" outlineLevelCol="0"/>
  <cols>
    <col min="9" max="9" width="28.5" hidden="false" outlineLevel="0" customWidth="1"/>
  </cols>
  <sheetData>
    <row r="1" ht="26.85" customHeight="1">
      <c r="A1" s="4" t="s">
        <v>160</v>
      </c>
      <c r="B1" s="4" t="s">
        <v>161</v>
      </c>
      <c r="C1" s="4" t="s">
        <v>162</v>
      </c>
      <c r="D1" s="4" t="s">
        <v>163</v>
      </c>
      <c r="E1" s="4" t="s">
        <v>164</v>
      </c>
      <c r="F1" s="4" t="s">
        <v>3</v>
      </c>
      <c r="G1" s="4" t="s">
        <v>4</v>
      </c>
      <c r="H1" s="4" t="s">
        <v>165</v>
      </c>
      <c r="I1" s="4" t="s">
        <v>98</v>
      </c>
      <c r="J1" s="4" t="s">
        <v>107</v>
      </c>
      <c r="K1" s="4" t="s">
        <v>166</v>
      </c>
      <c r="L1" s="4" t="s">
        <v>167</v>
      </c>
      <c r="M1" s="4"/>
      <c r="N1" s="4"/>
      <c r="O1" s="4"/>
      <c r="P1" s="4"/>
      <c r="Q1" s="4"/>
      <c r="R1" s="4"/>
      <c r="S1" s="4"/>
      <c r="T1" s="4"/>
      <c r="U1" s="4"/>
      <c r="V1" s="4"/>
      <c r="W1" s="4"/>
      <c r="X1" s="4"/>
      <c r="Y1" s="4"/>
      <c r="Z1" s="4"/>
    </row>
    <row r="2" ht="102.95" customHeight="1">
      <c r="A2" s="4" t="s">
        <v>168</v>
      </c>
      <c r="B2" s="4" t="s">
        <v>169</v>
      </c>
      <c r="C2" s="4" t="s">
        <v>170</v>
      </c>
      <c r="D2" s="4" t="s">
        <v>171</v>
      </c>
      <c r="E2" s="4" t="s">
        <v>172</v>
      </c>
      <c r="F2" s="4" t="n">
        <v>2007</v>
      </c>
      <c r="G2" s="4" t="n">
        <v>2011</v>
      </c>
      <c r="H2" s="4" t="s">
        <v>173</v>
      </c>
      <c r="I2" s="4" t="s">
        <v>174</v>
      </c>
      <c r="J2" s="4" t="s">
        <v>175</v>
      </c>
      <c r="K2" s="4" t="s">
        <v>176</v>
      </c>
      <c r="L2" s="4" t="s">
        <v>177</v>
      </c>
      <c r="M2" s="4"/>
      <c r="N2" s="4"/>
      <c r="O2" s="4"/>
      <c r="P2" s="4"/>
      <c r="Q2" s="4"/>
      <c r="R2" s="4"/>
      <c r="S2" s="4"/>
      <c r="T2" s="4"/>
      <c r="U2" s="4"/>
      <c r="V2" s="4"/>
      <c r="W2" s="4"/>
      <c r="X2" s="4"/>
      <c r="Y2" s="4"/>
      <c r="Z2" s="4"/>
    </row>
    <row r="3" ht="102.95" customHeight="1">
      <c r="A3" s="4" t="s">
        <v>178</v>
      </c>
      <c r="B3" s="4" t="s">
        <v>179</v>
      </c>
      <c r="C3" s="4" t="s">
        <v>170</v>
      </c>
      <c r="D3" s="4" t="s">
        <v>171</v>
      </c>
      <c r="E3" s="4" t="s">
        <v>172</v>
      </c>
      <c r="F3" s="4" t="n">
        <v>2016</v>
      </c>
      <c r="G3" s="4" t="n">
        <v>2018</v>
      </c>
      <c r="H3" s="4" t="s">
        <v>173</v>
      </c>
      <c r="I3" s="4" t="s">
        <v>180</v>
      </c>
      <c r="J3" s="4" t="s">
        <v>181</v>
      </c>
      <c r="K3" s="4" t="s">
        <v>182</v>
      </c>
      <c r="L3" s="4"/>
      <c r="M3" s="4"/>
      <c r="N3" s="4"/>
      <c r="O3" s="4"/>
      <c r="P3" s="4"/>
      <c r="Q3" s="4"/>
      <c r="R3" s="4"/>
      <c r="S3" s="4"/>
      <c r="T3" s="4"/>
      <c r="U3" s="4"/>
      <c r="V3" s="4"/>
      <c r="W3" s="4"/>
      <c r="X3" s="4"/>
      <c r="Y3" s="4"/>
      <c r="Z3" s="4"/>
    </row>
    <row r="4" ht="15.75" customHeight="1">
      <c r="A4" s="4"/>
      <c r="B4" s="4"/>
      <c r="C4" s="4"/>
      <c r="D4" s="4"/>
      <c r="E4" s="4"/>
      <c r="F4" s="4"/>
      <c r="G4" s="4"/>
      <c r="H4" s="4"/>
      <c r="I4" s="4"/>
      <c r="J4" s="4"/>
      <c r="K4" s="4"/>
      <c r="L4" s="4"/>
      <c r="M4" s="4"/>
      <c r="N4" s="4"/>
      <c r="O4" s="4"/>
      <c r="P4" s="4"/>
      <c r="Q4" s="4"/>
      <c r="R4" s="4"/>
      <c r="S4" s="4"/>
      <c r="T4" s="4"/>
      <c r="U4" s="4"/>
      <c r="V4" s="4"/>
      <c r="W4" s="4"/>
      <c r="X4" s="4"/>
      <c r="Y4" s="4"/>
      <c r="Z4" s="4"/>
    </row>
    <row r="5" ht="15.75" customHeight="1">
      <c r="A5" s="4"/>
      <c r="B5" s="4"/>
      <c r="C5" s="4"/>
      <c r="D5" s="4"/>
      <c r="E5" s="4"/>
      <c r="F5" s="4"/>
      <c r="G5" s="4"/>
      <c r="H5" s="4"/>
      <c r="I5" s="4"/>
      <c r="J5" s="4"/>
      <c r="K5" s="4"/>
      <c r="L5" s="4"/>
      <c r="M5" s="4"/>
      <c r="N5" s="4"/>
      <c r="O5" s="4"/>
      <c r="P5" s="4"/>
      <c r="Q5" s="4"/>
      <c r="R5" s="4"/>
      <c r="S5" s="4"/>
      <c r="T5" s="4"/>
      <c r="U5" s="4"/>
      <c r="V5" s="4"/>
      <c r="W5" s="4"/>
      <c r="X5" s="4"/>
      <c r="Y5" s="4"/>
      <c r="Z5" s="4"/>
    </row>
    <row r="6" ht="15.75" customHeight="1">
      <c r="A6" s="4"/>
      <c r="B6" s="4"/>
      <c r="C6" s="4"/>
      <c r="D6" s="4"/>
      <c r="E6" s="4"/>
      <c r="F6" s="4"/>
      <c r="G6" s="4"/>
      <c r="H6" s="4"/>
      <c r="I6" s="4"/>
      <c r="J6" s="4"/>
      <c r="K6" s="4"/>
      <c r="L6" s="4"/>
      <c r="M6" s="4"/>
      <c r="N6" s="4"/>
      <c r="O6" s="4"/>
      <c r="P6" s="4"/>
      <c r="Q6" s="4"/>
      <c r="R6" s="4"/>
      <c r="S6" s="4"/>
      <c r="T6" s="4"/>
      <c r="U6" s="4"/>
      <c r="V6" s="4"/>
      <c r="W6" s="4"/>
      <c r="X6" s="4"/>
      <c r="Y6" s="4"/>
      <c r="Z6" s="4"/>
    </row>
    <row r="7" ht="15.75" customHeight="1">
      <c r="A7" s="4"/>
      <c r="B7" s="4"/>
      <c r="C7" s="4"/>
      <c r="D7" s="4"/>
      <c r="E7" s="4"/>
      <c r="F7" s="4"/>
      <c r="G7" s="4"/>
      <c r="H7" s="4"/>
      <c r="I7" s="4"/>
      <c r="J7" s="4"/>
      <c r="K7" s="4"/>
      <c r="L7" s="4"/>
      <c r="M7" s="4"/>
      <c r="N7" s="4"/>
      <c r="O7" s="4"/>
      <c r="P7" s="4"/>
      <c r="Q7" s="4"/>
      <c r="R7" s="4"/>
      <c r="S7" s="4"/>
      <c r="T7" s="4"/>
      <c r="U7" s="4"/>
      <c r="V7" s="4"/>
      <c r="W7" s="4"/>
      <c r="X7" s="4"/>
      <c r="Y7" s="4"/>
      <c r="Z7" s="4"/>
    </row>
    <row r="8" ht="15.75" customHeight="1">
      <c r="A8" s="4"/>
      <c r="B8" s="4"/>
      <c r="C8" s="4"/>
      <c r="D8" s="4"/>
      <c r="E8" s="4"/>
      <c r="F8" s="4"/>
      <c r="G8" s="4"/>
      <c r="H8" s="4"/>
      <c r="I8" s="4"/>
      <c r="J8" s="4"/>
      <c r="K8" s="4"/>
      <c r="L8" s="4"/>
      <c r="M8" s="4"/>
      <c r="N8" s="4"/>
      <c r="O8" s="4"/>
      <c r="P8" s="4"/>
      <c r="Q8" s="4"/>
      <c r="R8" s="4"/>
      <c r="S8" s="4"/>
      <c r="T8" s="4"/>
      <c r="U8" s="4"/>
      <c r="V8" s="4"/>
      <c r="W8" s="4"/>
      <c r="X8" s="4"/>
      <c r="Y8" s="4"/>
      <c r="Z8" s="4"/>
    </row>
    <row r="9" ht="15.75" customHeight="1">
      <c r="A9" s="4"/>
      <c r="B9" s="4"/>
      <c r="C9" s="4"/>
      <c r="D9" s="4"/>
      <c r="E9" s="4"/>
      <c r="F9" s="4"/>
      <c r="G9" s="4"/>
      <c r="H9" s="4"/>
      <c r="I9" s="4"/>
      <c r="J9" s="4"/>
      <c r="K9" s="4"/>
      <c r="L9" s="4"/>
      <c r="M9" s="4"/>
      <c r="N9" s="4"/>
      <c r="O9" s="4"/>
      <c r="P9" s="4"/>
      <c r="Q9" s="4"/>
      <c r="R9" s="4"/>
      <c r="S9" s="4"/>
      <c r="T9" s="4"/>
      <c r="U9" s="4"/>
      <c r="V9" s="4"/>
      <c r="W9" s="4"/>
      <c r="X9" s="4"/>
      <c r="Y9" s="4"/>
      <c r="Z9" s="4"/>
    </row>
    <row r="10" ht="15.75" customHeight="1">
      <c r="A10" s="4"/>
      <c r="B10" s="4"/>
      <c r="C10" s="4"/>
      <c r="D10" s="4"/>
      <c r="E10" s="4"/>
      <c r="F10" s="4"/>
      <c r="G10" s="4"/>
      <c r="H10" s="4"/>
      <c r="I10" s="4"/>
      <c r="J10" s="4"/>
      <c r="K10" s="4"/>
      <c r="L10" s="4"/>
      <c r="M10" s="4"/>
      <c r="N10" s="4"/>
      <c r="O10" s="4"/>
      <c r="P10" s="4"/>
      <c r="Q10" s="4"/>
      <c r="R10" s="4"/>
      <c r="S10" s="4"/>
      <c r="T10" s="4"/>
      <c r="U10" s="4"/>
      <c r="V10" s="4"/>
      <c r="W10" s="4"/>
      <c r="X10" s="4"/>
      <c r="Y10" s="4"/>
      <c r="Z10" s="4"/>
    </row>
    <row r="11" ht="15.75" customHeight="1">
      <c r="A11" s="4"/>
      <c r="B11" s="4"/>
      <c r="C11" s="4"/>
      <c r="D11" s="4"/>
      <c r="E11" s="4"/>
      <c r="F11" s="4"/>
      <c r="G11" s="4"/>
      <c r="H11" s="4"/>
      <c r="I11" s="4"/>
      <c r="J11" s="4"/>
      <c r="K11" s="4"/>
      <c r="L11" s="4"/>
      <c r="M11" s="4"/>
      <c r="N11" s="4"/>
      <c r="O11" s="4"/>
      <c r="P11" s="4"/>
      <c r="Q11" s="4"/>
      <c r="R11" s="4"/>
      <c r="S11" s="4"/>
      <c r="T11" s="4"/>
      <c r="U11" s="4"/>
      <c r="V11" s="4"/>
      <c r="W11" s="4"/>
      <c r="X11" s="4"/>
      <c r="Y11" s="4"/>
      <c r="Z11" s="4"/>
    </row>
    <row r="12" ht="15.75" customHeight="1">
      <c r="A12" s="4"/>
      <c r="B12" s="4"/>
      <c r="C12" s="4"/>
      <c r="D12" s="4"/>
      <c r="E12" s="4"/>
      <c r="F12" s="4"/>
      <c r="G12" s="4"/>
      <c r="H12" s="4"/>
      <c r="I12" s="4"/>
      <c r="J12" s="4"/>
      <c r="K12" s="4"/>
      <c r="L12" s="4"/>
      <c r="M12" s="4"/>
      <c r="N12" s="4"/>
      <c r="O12" s="4"/>
      <c r="P12" s="4"/>
      <c r="Q12" s="4"/>
      <c r="R12" s="4"/>
      <c r="S12" s="4"/>
      <c r="T12" s="4"/>
      <c r="U12" s="4"/>
      <c r="V12" s="4"/>
      <c r="W12" s="4"/>
      <c r="X12" s="4"/>
      <c r="Y12" s="4"/>
      <c r="Z12" s="4"/>
    </row>
    <row r="13" ht="15.75" customHeight="1">
      <c r="A13" s="4"/>
      <c r="B13" s="4"/>
      <c r="C13" s="4"/>
      <c r="D13" s="4"/>
      <c r="E13" s="4"/>
      <c r="F13" s="4"/>
      <c r="G13" s="4"/>
      <c r="H13" s="4"/>
      <c r="I13" s="4"/>
      <c r="J13" s="4"/>
      <c r="K13" s="4"/>
      <c r="L13" s="4"/>
      <c r="M13" s="4"/>
      <c r="N13" s="4"/>
      <c r="O13" s="4"/>
      <c r="P13" s="4"/>
      <c r="Q13" s="4"/>
      <c r="R13" s="4"/>
      <c r="S13" s="4"/>
      <c r="T13" s="4"/>
      <c r="U13" s="4"/>
      <c r="V13" s="4"/>
      <c r="W13" s="4"/>
      <c r="X13" s="4"/>
      <c r="Y13" s="4"/>
      <c r="Z13" s="4"/>
    </row>
    <row r="14" ht="15.75" customHeight="1">
      <c r="A14" s="4"/>
      <c r="B14" s="4"/>
      <c r="C14" s="4"/>
      <c r="D14" s="4"/>
      <c r="E14" s="4"/>
      <c r="F14" s="4"/>
      <c r="G14" s="4"/>
      <c r="H14" s="4"/>
      <c r="I14" s="4"/>
      <c r="J14" s="4"/>
      <c r="K14" s="4"/>
      <c r="L14" s="4"/>
      <c r="M14" s="4"/>
      <c r="N14" s="4"/>
      <c r="O14" s="4"/>
      <c r="P14" s="4"/>
      <c r="Q14" s="4"/>
      <c r="R14" s="4"/>
      <c r="S14" s="4"/>
      <c r="T14" s="4"/>
      <c r="U14" s="4"/>
      <c r="V14" s="4"/>
      <c r="W14" s="4"/>
      <c r="X14" s="4"/>
      <c r="Y14" s="4"/>
      <c r="Z14" s="4"/>
    </row>
    <row r="15" ht="15.75" customHeight="1">
      <c r="A15" s="4"/>
      <c r="B15" s="4"/>
      <c r="C15" s="4"/>
      <c r="D15" s="4"/>
      <c r="E15" s="4"/>
      <c r="F15" s="4"/>
      <c r="G15" s="4"/>
      <c r="H15" s="4"/>
      <c r="I15" s="4"/>
      <c r="J15" s="4"/>
      <c r="K15" s="4"/>
      <c r="L15" s="4"/>
      <c r="M15" s="4"/>
      <c r="N15" s="4"/>
      <c r="O15" s="4"/>
      <c r="P15" s="4"/>
      <c r="Q15" s="4"/>
      <c r="R15" s="4"/>
      <c r="S15" s="4"/>
      <c r="T15" s="4"/>
      <c r="U15" s="4"/>
      <c r="V15" s="4"/>
      <c r="W15" s="4"/>
      <c r="X15" s="4"/>
      <c r="Y15" s="4"/>
      <c r="Z15" s="4"/>
    </row>
    <row r="16" ht="15.75" customHeight="1">
      <c r="A16" s="4"/>
      <c r="B16" s="4"/>
      <c r="C16" s="4"/>
      <c r="D16" s="4"/>
      <c r="E16" s="4"/>
      <c r="F16" s="4"/>
      <c r="G16" s="4"/>
      <c r="H16" s="4"/>
      <c r="I16" s="4"/>
      <c r="J16" s="4"/>
      <c r="K16" s="4"/>
      <c r="L16" s="4"/>
      <c r="M16" s="4"/>
      <c r="N16" s="4"/>
      <c r="O16" s="4"/>
      <c r="P16" s="4"/>
      <c r="Q16" s="4"/>
      <c r="R16" s="4"/>
      <c r="S16" s="4"/>
      <c r="T16" s="4"/>
      <c r="U16" s="4"/>
      <c r="V16" s="4"/>
      <c r="W16" s="4"/>
      <c r="X16" s="4"/>
      <c r="Y16" s="4"/>
      <c r="Z16" s="4"/>
    </row>
    <row r="17" ht="15.75"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15.7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5.75"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5.7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OddEven="0" differentFirst="0" scaleWithDoc="0" alignWithMargins="0">
    <oddHeader>&amp;L&amp;C&amp;R</oddHeader>
    <oddFooter>&amp;L&amp;C&amp;R</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false">
    <outlinePr summaryBelow="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E2"/>
    </sheetView>
  </sheetViews>
  <sheetFormatPr defaultRowHeight="15.0" baseColWidth="10" outlineLevelCol="0"/>
  <cols>
    <col min="4" max="4" width="36.75" hidden="false" outlineLevel="0" customWidth="1"/>
    <col min="5" max="5" width="22.88" hidden="false" outlineLevel="0" customWidth="1"/>
  </cols>
  <sheetData>
    <row r="1" ht="15.75" customHeight="1">
      <c r="A1" s="4" t="s">
        <v>0</v>
      </c>
      <c r="B1" s="4" t="s">
        <v>183</v>
      </c>
      <c r="C1" s="4" t="s">
        <v>184</v>
      </c>
      <c r="D1" s="4" t="s">
        <v>185</v>
      </c>
      <c r="E1" s="4" t="s">
        <v>186</v>
      </c>
      <c r="F1" s="4" t="s">
        <v>187</v>
      </c>
      <c r="G1" s="4"/>
      <c r="H1" s="4"/>
      <c r="I1" s="4"/>
      <c r="J1" s="4"/>
      <c r="K1" s="4"/>
      <c r="L1" s="4"/>
      <c r="M1" s="4"/>
      <c r="N1" s="4"/>
      <c r="O1" s="4"/>
      <c r="P1" s="4"/>
      <c r="Q1" s="4"/>
      <c r="R1" s="4"/>
      <c r="S1" s="4"/>
      <c r="T1" s="4"/>
      <c r="U1" s="4"/>
      <c r="V1" s="4"/>
      <c r="W1" s="4"/>
      <c r="X1" s="4"/>
      <c r="Y1" s="4"/>
      <c r="Z1" s="4"/>
      <c r="AA1" s="4"/>
    </row>
    <row r="2" ht="26.85" customHeight="1">
      <c r="A2" s="4" t="n">
        <v>3</v>
      </c>
      <c r="B2" s="4" t="s">
        <v>188</v>
      </c>
      <c r="C2" s="4" t="s">
        <v>189</v>
      </c>
      <c r="D2" s="4" t="s">
        <v>190</v>
      </c>
      <c r="E2" s="4" t="s">
        <v>191</v>
      </c>
      <c r="F2" s="4" t="s">
        <v>192</v>
      </c>
      <c r="G2" s="4"/>
      <c r="H2" s="4"/>
      <c r="I2" s="4"/>
      <c r="J2" s="4"/>
      <c r="K2" s="4"/>
      <c r="L2" s="4"/>
      <c r="M2" s="4"/>
      <c r="N2" s="4"/>
      <c r="O2" s="4"/>
      <c r="P2" s="4"/>
      <c r="Q2" s="4"/>
      <c r="R2" s="4"/>
      <c r="S2" s="4"/>
      <c r="T2" s="4"/>
      <c r="U2" s="4"/>
      <c r="V2" s="4"/>
      <c r="W2" s="4"/>
      <c r="X2" s="4"/>
      <c r="Y2" s="4"/>
      <c r="Z2" s="4"/>
      <c r="AA2" s="4"/>
    </row>
    <row r="3" ht="26.85" customHeight="1">
      <c r="A3" s="4" t="n">
        <v>3</v>
      </c>
      <c r="B3" s="4" t="s">
        <v>193</v>
      </c>
      <c r="C3" s="4" t="s">
        <v>194</v>
      </c>
      <c r="D3" s="4" t="s">
        <v>195</v>
      </c>
      <c r="E3" s="4" t="s">
        <v>196</v>
      </c>
      <c r="F3" s="4" t="s">
        <v>192</v>
      </c>
      <c r="G3" s="4"/>
      <c r="H3" s="4"/>
      <c r="I3" s="4"/>
      <c r="J3" s="4"/>
      <c r="K3" s="4"/>
      <c r="L3" s="4"/>
      <c r="M3" s="4"/>
      <c r="N3" s="4"/>
      <c r="O3" s="4"/>
      <c r="P3" s="4"/>
      <c r="Q3" s="4"/>
      <c r="R3" s="4"/>
      <c r="S3" s="4"/>
      <c r="T3" s="4"/>
      <c r="U3" s="4"/>
      <c r="V3" s="4"/>
      <c r="W3" s="4"/>
      <c r="X3" s="4"/>
      <c r="Y3" s="4"/>
      <c r="Z3" s="4"/>
      <c r="AA3" s="4"/>
    </row>
    <row r="4" ht="26.85" customHeight="1">
      <c r="A4" s="4" t="n">
        <v>4</v>
      </c>
      <c r="B4" s="4" t="s">
        <v>197</v>
      </c>
      <c r="C4" s="4" t="s">
        <v>194</v>
      </c>
      <c r="D4" s="4" t="s">
        <v>198</v>
      </c>
      <c r="E4" s="4" t="s">
        <v>199</v>
      </c>
      <c r="F4" s="4" t="s">
        <v>192</v>
      </c>
      <c r="G4" s="4"/>
      <c r="H4" s="4"/>
      <c r="I4" s="4"/>
      <c r="J4" s="4"/>
      <c r="K4" s="4"/>
      <c r="L4" s="4"/>
      <c r="M4" s="4"/>
      <c r="N4" s="4"/>
      <c r="O4" s="4"/>
      <c r="P4" s="4"/>
      <c r="Q4" s="4"/>
      <c r="R4" s="4"/>
      <c r="S4" s="4"/>
      <c r="T4" s="4"/>
      <c r="U4" s="4"/>
      <c r="V4" s="4"/>
      <c r="W4" s="4"/>
      <c r="X4" s="4"/>
      <c r="Y4" s="4"/>
      <c r="Z4" s="4"/>
      <c r="AA4" s="4"/>
    </row>
    <row r="5" ht="39.55" customHeight="1">
      <c r="A5" s="4" t="n">
        <v>4</v>
      </c>
      <c r="B5" s="4" t="s">
        <v>200</v>
      </c>
      <c r="C5" s="4" t="s">
        <v>189</v>
      </c>
      <c r="D5" s="4" t="s">
        <v>201</v>
      </c>
      <c r="E5" s="4" t="s">
        <v>202</v>
      </c>
      <c r="F5" s="4" t="s">
        <v>192</v>
      </c>
      <c r="G5" s="4"/>
      <c r="H5" s="4"/>
      <c r="I5" s="4"/>
      <c r="J5" s="4"/>
      <c r="K5" s="4"/>
      <c r="L5" s="4"/>
      <c r="M5" s="4"/>
      <c r="N5" s="4"/>
      <c r="O5" s="4"/>
      <c r="P5" s="4"/>
      <c r="Q5" s="4"/>
      <c r="R5" s="4"/>
      <c r="S5" s="4"/>
      <c r="T5" s="4"/>
      <c r="U5" s="4"/>
      <c r="V5" s="4"/>
      <c r="W5" s="4"/>
      <c r="X5" s="4"/>
      <c r="Y5" s="4"/>
      <c r="Z5" s="4"/>
      <c r="AA5" s="4"/>
    </row>
    <row r="6" ht="64.9" customHeight="1">
      <c r="A6" s="4" t="n">
        <v>4</v>
      </c>
      <c r="B6" s="4" t="s">
        <v>203</v>
      </c>
      <c r="C6" s="4" t="s">
        <v>189</v>
      </c>
      <c r="D6" s="4" t="s">
        <v>204</v>
      </c>
      <c r="E6" s="4" t="s">
        <v>205</v>
      </c>
      <c r="F6" s="4" t="s">
        <v>192</v>
      </c>
      <c r="G6" s="4"/>
      <c r="H6" s="4"/>
      <c r="I6" s="4"/>
      <c r="J6" s="4"/>
      <c r="K6" s="4"/>
      <c r="L6" s="4"/>
      <c r="M6" s="4"/>
      <c r="N6" s="4"/>
      <c r="O6" s="4"/>
      <c r="P6" s="4"/>
      <c r="Q6" s="4"/>
      <c r="R6" s="4"/>
      <c r="S6" s="4"/>
      <c r="T6" s="4"/>
      <c r="U6" s="4"/>
      <c r="V6" s="4"/>
      <c r="W6" s="4"/>
      <c r="X6" s="4"/>
      <c r="Y6" s="4"/>
      <c r="Z6" s="4"/>
      <c r="AA6" s="4"/>
    </row>
    <row r="7" ht="166.4" customHeight="1">
      <c r="A7" s="4" t="n">
        <v>4</v>
      </c>
      <c r="B7" s="4" t="s">
        <v>206</v>
      </c>
      <c r="C7" s="4" t="s">
        <v>207</v>
      </c>
      <c r="D7" s="4" t="s">
        <v>208</v>
      </c>
      <c r="E7" s="4" t="s">
        <v>209</v>
      </c>
      <c r="F7" s="4" t="s">
        <v>210</v>
      </c>
      <c r="G7" s="4"/>
      <c r="H7" s="4"/>
      <c r="I7" s="4"/>
      <c r="J7" s="4"/>
      <c r="K7" s="4"/>
      <c r="L7" s="4"/>
      <c r="M7" s="4"/>
      <c r="N7" s="4"/>
      <c r="O7" s="4"/>
      <c r="P7" s="4"/>
      <c r="Q7" s="4"/>
      <c r="R7" s="4"/>
      <c r="S7" s="4"/>
      <c r="T7" s="4"/>
      <c r="U7" s="4"/>
      <c r="V7" s="4"/>
      <c r="W7" s="4"/>
      <c r="X7" s="4"/>
      <c r="Y7" s="4"/>
      <c r="Z7" s="4"/>
      <c r="AA7" s="4"/>
    </row>
    <row r="8" ht="166.4" customHeight="1">
      <c r="A8" s="4" t="n">
        <v>1</v>
      </c>
      <c r="B8" s="4" t="s">
        <v>211</v>
      </c>
      <c r="C8" s="4" t="s">
        <v>212</v>
      </c>
      <c r="D8" s="4" t="s">
        <v>213</v>
      </c>
      <c r="E8" s="4" t="s">
        <v>214</v>
      </c>
      <c r="F8" s="4" t="s">
        <v>210</v>
      </c>
      <c r="G8" s="4"/>
      <c r="H8" s="4"/>
      <c r="I8" s="4"/>
      <c r="J8" s="4"/>
      <c r="K8" s="4"/>
      <c r="L8" s="4"/>
      <c r="M8" s="4"/>
      <c r="N8" s="4"/>
      <c r="O8" s="4"/>
      <c r="P8" s="4"/>
      <c r="Q8" s="4"/>
      <c r="R8" s="4"/>
      <c r="S8" s="4"/>
      <c r="T8" s="4"/>
      <c r="U8" s="4"/>
      <c r="V8" s="4"/>
      <c r="W8" s="4"/>
      <c r="X8" s="4"/>
      <c r="Y8" s="4"/>
      <c r="Z8" s="4"/>
      <c r="AA8" s="4"/>
    </row>
    <row r="9" ht="166.4" customHeight="1">
      <c r="A9" s="4" t="n">
        <v>1</v>
      </c>
      <c r="B9" s="4" t="s">
        <v>215</v>
      </c>
      <c r="C9" s="4" t="s">
        <v>212</v>
      </c>
      <c r="D9" s="4" t="s">
        <v>216</v>
      </c>
      <c r="E9" s="4" t="s">
        <v>217</v>
      </c>
      <c r="F9" s="4" t="s">
        <v>210</v>
      </c>
      <c r="G9" s="4"/>
      <c r="H9" s="4"/>
      <c r="I9" s="4"/>
      <c r="J9" s="4"/>
      <c r="K9" s="4"/>
      <c r="L9" s="4"/>
      <c r="M9" s="4"/>
      <c r="N9" s="4"/>
      <c r="O9" s="4"/>
      <c r="P9" s="4"/>
      <c r="Q9" s="4"/>
      <c r="R9" s="4"/>
      <c r="S9" s="4"/>
      <c r="T9" s="4"/>
      <c r="U9" s="4"/>
      <c r="V9" s="4"/>
      <c r="W9" s="4"/>
      <c r="X9" s="4"/>
      <c r="Y9" s="4"/>
      <c r="Z9" s="4"/>
      <c r="AA9" s="4"/>
    </row>
    <row r="10" ht="26.85" customHeight="1">
      <c r="A10" s="4" t="n">
        <v>2</v>
      </c>
      <c r="B10" s="4" t="s">
        <v>218</v>
      </c>
      <c r="C10" s="4" t="s">
        <v>212</v>
      </c>
      <c r="D10" s="4" t="s">
        <v>219</v>
      </c>
      <c r="E10" s="4"/>
      <c r="F10" s="4" t="s">
        <v>210</v>
      </c>
      <c r="G10" s="4"/>
      <c r="H10" s="4"/>
      <c r="I10" s="4"/>
      <c r="J10" s="4"/>
      <c r="K10" s="4"/>
      <c r="L10" s="4"/>
      <c r="M10" s="4"/>
      <c r="N10" s="4"/>
      <c r="O10" s="4"/>
      <c r="P10" s="4"/>
      <c r="Q10" s="4"/>
      <c r="R10" s="4"/>
      <c r="S10" s="4"/>
      <c r="T10" s="4"/>
      <c r="U10" s="4"/>
      <c r="V10" s="4"/>
      <c r="W10" s="4"/>
      <c r="X10" s="4"/>
      <c r="Y10" s="4"/>
      <c r="Z10" s="4"/>
      <c r="AA10" s="4"/>
    </row>
    <row r="11" ht="15.75" customHeight="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ht="15.75" customHeight="1">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ht="15.75" customHeight="1">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ht="15.75" customHeight="1">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ht="15.75" customHeight="1">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ht="15.75" customHeight="1">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ht="15.75" customHeight="1">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ht="15.75" customHeight="1">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ht="15.75" customHeight="1">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ht="15.75" customHeight="1">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OddEven="0" differentFirst="0" scaleWithDoc="0" alignWithMargins="0">
    <oddHeader>&amp;L&amp;C&amp;R</oddHeader>
    <oddFooter>&amp;L&amp;C&amp;R</oddFooter>
  </headerFooter>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2026-05-03T20:54:42Z</dcterms:modified>
  <cp:revision>1</cp:revision>
  <dc:subject/>
  <dc:title/>
</cp:coreProperties>
</file>